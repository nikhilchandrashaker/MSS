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 Data" sheetId="1" state="visible" r:id="rId3"/>
    <sheet name="MLB Archetypes" sheetId="2" state="visible" r:id="rId4"/>
    <sheet name="Position Leader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<sst xmlns="http://schemas.openxmlformats.org/spreadsheetml/2006/main" count="643" uniqueCount="193">
  <si>
    <t xml:space="preserve">Character</t>
  </si>
  <si>
    <t xml:space="preserve">Team</t>
  </si>
  <si>
    <t xml:space="preserve">Character Family</t>
  </si>
  <si>
    <t xml:space="preserve">Color Variant</t>
  </si>
  <si>
    <t xml:space="preserve">Captain</t>
  </si>
  <si>
    <t xml:space="preserve">Throwing Arm</t>
  </si>
  <si>
    <t xml:space="preserve">Batting Arm</t>
  </si>
  <si>
    <t xml:space="preserve">Pitch (1-10)</t>
  </si>
  <si>
    <t xml:space="preserve">Bat (1-10)</t>
  </si>
  <si>
    <t xml:space="preserve">Field (1-10)</t>
  </si>
  <si>
    <t xml:space="preserve">Run (1-10)</t>
  </si>
  <si>
    <t xml:space="preserve">Overall Total</t>
  </si>
  <si>
    <t xml:space="preserve">Offensive Index</t>
  </si>
  <si>
    <t xml:space="preserve">Defensive Index</t>
  </si>
  <si>
    <t xml:space="preserve">Athletic Index</t>
  </si>
  <si>
    <t xml:space="preserve">P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</si>
  <si>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</si>
  <si>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</si>
  <si>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</si>
  <si>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</si>
  <si>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</si>
  <si>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</si>
  <si>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</si>
  <si>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</si>
  <si>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Naive Stat-Based Role</t>
  </si>
  <si>
    <t xml:space="preserve">Optimal Position (Model)</t>
  </si>
  <si>
    <t xml:space="preserve">Optimal Position Score</t>
  </si>
  <si>
    <t xml:space="preserve">Position Rank</t>
  </si>
  <si>
    <t xml:space="preserve">dist_P_Ryan</t>
  </si>
  <si>
    <t xml:space="preserve">dist_P_Maddux</t>
  </si>
  <si>
    <t xml:space="preserve">dist_C_Bench</t>
  </si>
  <si>
    <t xml:space="preserve">dist_C_Rodriguez</t>
  </si>
  <si>
    <t xml:space="preserve">dist_1B_Pujols</t>
  </si>
  <si>
    <t xml:space="preserve">dist_1B_Hernandez</t>
  </si>
  <si>
    <t xml:space="preserve">dist_2B_Robinson</t>
  </si>
  <si>
    <t xml:space="preserve">dist_2B_Alomar</t>
  </si>
  <si>
    <t xml:space="preserve">dist_3B_Schmidt</t>
  </si>
  <si>
    <t xml:space="preserve">dist_3B_Brett</t>
  </si>
  <si>
    <t xml:space="preserve">dist_SS_Smith</t>
  </si>
  <si>
    <t xml:space="preserve">dist_SS_Jr.</t>
  </si>
  <si>
    <t xml:space="preserve">dist_LF_Bonds</t>
  </si>
  <si>
    <t xml:space="preserve">dist_LF_Henderson</t>
  </si>
  <si>
    <t xml:space="preserve">dist_CF_Mays</t>
  </si>
  <si>
    <t xml:space="preserve">dist_CF_Suzuki</t>
  </si>
  <si>
    <t xml:space="preserve">dist_RF_Aaron</t>
  </si>
  <si>
    <t xml:space="preserve">dist_RF_Clemente</t>
  </si>
  <si>
    <t xml:space="preserve">Closest MLB Comp</t>
  </si>
  <si>
    <t xml:space="preserve">Match Score (0-10)</t>
  </si>
  <si>
    <t xml:space="preserve">Mario</t>
  </si>
  <si>
    <t xml:space="preserve">Mario Fireballs</t>
  </si>
  <si>
    <t xml:space="preserve">No</t>
  </si>
  <si>
    <t xml:space="preserve">Yes</t>
  </si>
  <si>
    <t xml:space="preserve">Right</t>
  </si>
  <si>
    <t xml:space="preserve">Peach</t>
  </si>
  <si>
    <t xml:space="preserve">Peach Monarchs</t>
  </si>
  <si>
    <t xml:space="preserve">Yoshi</t>
  </si>
  <si>
    <t xml:space="preserve">Yoshi Eggs</t>
  </si>
  <si>
    <t xml:space="preserve">Left</t>
  </si>
  <si>
    <t xml:space="preserve">Wario</t>
  </si>
  <si>
    <t xml:space="preserve">Wario Muscles</t>
  </si>
  <si>
    <t xml:space="preserve">Donkey Kong</t>
  </si>
  <si>
    <t xml:space="preserve">DK Wilds</t>
  </si>
  <si>
    <t xml:space="preserve">Bowser</t>
  </si>
  <si>
    <t xml:space="preserve">Bowser Monsters</t>
  </si>
  <si>
    <t xml:space="preserve">Luigi</t>
  </si>
  <si>
    <t xml:space="preserve">Luigi Knights</t>
  </si>
  <si>
    <t xml:space="preserve">Daisy</t>
  </si>
  <si>
    <t xml:space="preserve">Daisy Flowers</t>
  </si>
  <si>
    <t xml:space="preserve">Birdo</t>
  </si>
  <si>
    <t xml:space="preserve">Birdo Bows</t>
  </si>
  <si>
    <t xml:space="preserve">Waluigi</t>
  </si>
  <si>
    <t xml:space="preserve">Waluigi Spitballs</t>
  </si>
  <si>
    <t xml:space="preserve">Diddy Kong</t>
  </si>
  <si>
    <t xml:space="preserve">Diddy Monkeys</t>
  </si>
  <si>
    <t xml:space="preserve">Bowser Jr.</t>
  </si>
  <si>
    <t xml:space="preserve">Bowser Jr. Rookies</t>
  </si>
  <si>
    <t xml:space="preserve">Red Yoshi</t>
  </si>
  <si>
    <t xml:space="preserve">Blue Yoshi</t>
  </si>
  <si>
    <t xml:space="preserve">Yellow Yoshi</t>
  </si>
  <si>
    <t xml:space="preserve">Light-Blue Yoshi</t>
  </si>
  <si>
    <t xml:space="preserve">Pink Yoshi</t>
  </si>
  <si>
    <t xml:space="preserve">Baby Mario</t>
  </si>
  <si>
    <t xml:space="preserve">Baby Peach</t>
  </si>
  <si>
    <t xml:space="preserve">Baby DK</t>
  </si>
  <si>
    <t xml:space="preserve">Baby Luigi</t>
  </si>
  <si>
    <t xml:space="preserve">Baby Daisy</t>
  </si>
  <si>
    <t xml:space="preserve">Blue Pianta</t>
  </si>
  <si>
    <t xml:space="preserve">Pianta</t>
  </si>
  <si>
    <t xml:space="preserve">Red Pianta</t>
  </si>
  <si>
    <t xml:space="preserve">Yellow Pianta</t>
  </si>
  <si>
    <t xml:space="preserve">Blue Noki</t>
  </si>
  <si>
    <t xml:space="preserve">Noki</t>
  </si>
  <si>
    <t xml:space="preserve">Red Noki</t>
  </si>
  <si>
    <t xml:space="preserve">Green Noki</t>
  </si>
  <si>
    <t xml:space="preserve">Monty Mole</t>
  </si>
  <si>
    <t xml:space="preserve">Blooper</t>
  </si>
  <si>
    <t xml:space="preserve">Red Toad</t>
  </si>
  <si>
    <t xml:space="preserve">Toad</t>
  </si>
  <si>
    <t xml:space="preserve">Blue Toad</t>
  </si>
  <si>
    <t xml:space="preserve">Yellow Toad</t>
  </si>
  <si>
    <t xml:space="preserve">Green Toad</t>
  </si>
  <si>
    <t xml:space="preserve">Purple Toad</t>
  </si>
  <si>
    <t xml:space="preserve">Toadette</t>
  </si>
  <si>
    <t xml:space="preserve">Toadsworth</t>
  </si>
  <si>
    <t xml:space="preserve">Petey Piranha</t>
  </si>
  <si>
    <t xml:space="preserve">Shy Guy</t>
  </si>
  <si>
    <t xml:space="preserve">Blue Shy Guy</t>
  </si>
  <si>
    <t xml:space="preserve">Yellow Shy Guy</t>
  </si>
  <si>
    <t xml:space="preserve">Green Shy Guy</t>
  </si>
  <si>
    <t xml:space="preserve">Gray Shy Guy</t>
  </si>
  <si>
    <t xml:space="preserve">Wiggler</t>
  </si>
  <si>
    <t xml:space="preserve">Goomba</t>
  </si>
  <si>
    <t xml:space="preserve">Koopa</t>
  </si>
  <si>
    <t xml:space="preserve">Koopa Troopa</t>
  </si>
  <si>
    <t xml:space="preserve">Red Koopa</t>
  </si>
  <si>
    <t xml:space="preserve">Paragoomba</t>
  </si>
  <si>
    <t xml:space="preserve">Paratroopa</t>
  </si>
  <si>
    <t xml:space="preserve">Green Paratroopa</t>
  </si>
  <si>
    <t xml:space="preserve">Boo</t>
  </si>
  <si>
    <t xml:space="preserve">King Boo</t>
  </si>
  <si>
    <t xml:space="preserve">Dixie Kong</t>
  </si>
  <si>
    <t xml:space="preserve">Tiny Kong</t>
  </si>
  <si>
    <t xml:space="preserve">Funky Kong</t>
  </si>
  <si>
    <t xml:space="preserve">Kritter</t>
  </si>
  <si>
    <t xml:space="preserve">Blue Kritter</t>
  </si>
  <si>
    <t xml:space="preserve">Red Kritter</t>
  </si>
  <si>
    <t xml:space="preserve">Brown Kritter</t>
  </si>
  <si>
    <t xml:space="preserve">King K. Rool</t>
  </si>
  <si>
    <t xml:space="preserve">Hammer Bro</t>
  </si>
  <si>
    <t xml:space="preserve">Bro</t>
  </si>
  <si>
    <t xml:space="preserve">Fire Bro</t>
  </si>
  <si>
    <t xml:space="preserve">Boomerang Bro</t>
  </si>
  <si>
    <t xml:space="preserve">Magikoopa</t>
  </si>
  <si>
    <t xml:space="preserve">Red Magikoopa</t>
  </si>
  <si>
    <t xml:space="preserve">Green Magikoopa</t>
  </si>
  <si>
    <t xml:space="preserve">Yellow Magikoopa</t>
  </si>
  <si>
    <t xml:space="preserve">Dry Bones</t>
  </si>
  <si>
    <t xml:space="preserve">Green Dry Bones</t>
  </si>
  <si>
    <t xml:space="preserve">Dark Bones</t>
  </si>
  <si>
    <t xml:space="preserve">Blue Dry Bones</t>
  </si>
  <si>
    <t xml:space="preserve">Mii</t>
  </si>
  <si>
    <t xml:space="preserve">N/A</t>
  </si>
  <si>
    <t xml:space="preserve">Position</t>
  </si>
  <si>
    <t xml:space="preserve">MLB Player Comp</t>
  </si>
  <si>
    <t xml:space="preserve">Pitch (illustrative)</t>
  </si>
  <si>
    <t xml:space="preserve">Bat (illustrative)</t>
  </si>
  <si>
    <t xml:space="preserve">Field (illustrative)</t>
  </si>
  <si>
    <t xml:space="preserve">Run (illustrative)</t>
  </si>
  <si>
    <t xml:space="preserve">Why this comp</t>
  </si>
  <si>
    <t xml:space="preserve">Nolan Ryan</t>
  </si>
  <si>
    <t xml:space="preserve">Overpowering fastball arm; the archetype pure power pitcher.</t>
  </si>
  <si>
    <t xml:space="preserve">Greg Maddux</t>
  </si>
  <si>
    <t xml:space="preserve">Command and guile over velocity; wins with control and fielding his position.</t>
  </si>
  <si>
    <t xml:space="preserve">Johnny Bench</t>
  </si>
  <si>
    <t xml:space="preserve">Rare catcher who hit for real power and still ran the position defensively.</t>
  </si>
  <si>
    <t xml:space="preserve">Ivan Rodriguez</t>
  </si>
  <si>
    <t xml:space="preserve">Plus arm and athleticism behind the plate with a genuinely useful bat.</t>
  </si>
  <si>
    <t xml:space="preserve">Albert Pujols</t>
  </si>
  <si>
    <t xml:space="preserve">Middle-of-the-order slugger with enough glove not to be a liability.</t>
  </si>
  <si>
    <t xml:space="preserve">Keith Hernandez</t>
  </si>
  <si>
    <t xml:space="preserve">Defined the position defensively; a slick glove first, power second.</t>
  </si>
  <si>
    <t xml:space="preserve">Jackie Robinson</t>
  </si>
  <si>
    <t xml:space="preserve">Contact, instincts, and speed at the keystone over raw power.</t>
  </si>
  <si>
    <t xml:space="preserve">Roberto Alomar</t>
  </si>
  <si>
    <t xml:space="preserve">A more power-and-glove all-around second baseman than a pure burner.</t>
  </si>
  <si>
    <t xml:space="preserve">Mike Schmidt</t>
  </si>
  <si>
    <t xml:space="preserve">Power and Gold Glove defense at the hot corner together.</t>
  </si>
  <si>
    <t xml:space="preserve">George Brett</t>
  </si>
  <si>
    <t xml:space="preserve">A bat-first third baseman who could still handle the position.</t>
  </si>
  <si>
    <t xml:space="preserve">Ozzie Smith</t>
  </si>
  <si>
    <t xml:space="preserve">Defense-first shortstop who won games with the glove, not the bat.</t>
  </si>
  <si>
    <t xml:space="preserve">Cal Ripken Jr.</t>
  </si>
  <si>
    <t xml:space="preserve">Redefined the position as a big, powerful hitter who could still play plus defense.</t>
  </si>
  <si>
    <t xml:space="preserve">Barry Bonds</t>
  </si>
  <si>
    <t xml:space="preserve">Elite power with enough speed and instincts to still be a weapon on the bases.</t>
  </si>
  <si>
    <t xml:space="preserve">Rickey Henderson</t>
  </si>
  <si>
    <t xml:space="preserve">Speed and on-base skill as the carrying tool, not power.</t>
  </si>
  <si>
    <t xml:space="preserve">Willie Mays</t>
  </si>
  <si>
    <t xml:space="preserve">The five-tool standard: hit, power, average, arm, and speed all near the top.</t>
  </si>
  <si>
    <t xml:space="preserve">Ichiro Suzuki</t>
  </si>
  <si>
    <t xml:space="preserve">Contact, speed, and defense over raw power in center/right.</t>
  </si>
  <si>
    <t xml:space="preserve">Hank Aaron</t>
  </si>
  <si>
    <t xml:space="preserve">Sustained, quiet power for two decades with a strong throwing arm.</t>
  </si>
  <si>
    <t xml:space="preserve">Roberto Clemente</t>
  </si>
  <si>
    <t xml:space="preserve">Defined by a cannon arm and all-around defense as much as the bat.</t>
  </si>
  <si>
    <t xml:space="preserve">Optimal-Position Leaderboard (Top 5 per position, model-based)</t>
  </si>
  <si>
    <t xml:space="preserve">Rank 1</t>
  </si>
  <si>
    <t xml:space="preserve">Score</t>
  </si>
  <si>
    <t xml:space="preserve">Rank 2</t>
  </si>
  <si>
    <t xml:space="preserve">Rank 3</t>
  </si>
  <si>
    <t xml:space="preserve">Rank 4</t>
  </si>
  <si>
    <t xml:space="preserve">Rank 5</t>
  </si>
  <si>
    <t xml:space="preserve">Note: "Score" is the model's 0-10 fit score for that position, after the throwing-arm eligibility rule (see README) has ruled out left-handed throwers for C / 2B / 3B / SS. Ties are broken by original roster order, so a repeated score is not an error.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</si>
</sst>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8"/>
    <col collapsed="false" customWidth="true" hidden="false" outlineLevel="0" max="12" min="8" style="0" width="6"/>
    <col collapsed="false" customWidth="true" hidden="false" outlineLevel="0" max="15" min="13" style="0" width="7"/>
    <col collapsed="false" customWidth="true" hidden="false" outlineLevel="0" max="24" min="16" style="0" width="6"/>
    <col collapsed="false" customWidth="true" hidden="false" outlineLevel="0" max="25" min="25" style="0" width="22"/>
    <col collapsed="false" customWidth="true" hidden="false" outlineLevel="0" max="34" min="26" style="0" width="6"/>
    <col collapsed="false" customWidth="true" hidden="false" outlineLevel="0" max="35" min="35" style="0" width="14"/>
    <col collapsed="false" customWidth="true" hidden="false" outlineLevel="0" max="36" min="36" style="0" width="8"/>
    <col collapsed="false" customWidth="true" hidden="false" outlineLevel="0" max="37" min="37" style="0" width="6"/>
    <col collapsed="false" customWidth="true" hidden="true" outlineLevel="0" max="55" min="38" style="0" width="8"/>
    <col collapsed="false" customWidth="true" hidden="false" outlineLevel="0" max="56" min="56" style="0" width="18"/>
    <col collapsed="false" customWidth="true" hidden="false" outlineLevel="0" max="57" min="57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48</v>
      </c>
      <c r="D2" s="2" t="s">
        <v>50</v>
      </c>
      <c r="E2" s="2" t="s">
        <v>51</v>
      </c>
      <c r="F2" s="2" t="s">
        <v>52</v>
      </c>
      <c r="G2" s="2" t="s">
        <v>52</v>
      </c>
      <c r="H2" s="3" t="n">
        <v>6</v>
      </c>
      <c r="I2" s="3" t="n">
        <v>7</v>
      </c>
      <c r="J2" s="3" t="n">
        <v>6</v>
      </c>
      <c r="K2" s="3" t="n">
        <v>7</v>
      </c>
      <c r="L2" s="4" t="n">
        <f aca="false">H2+I2+J2+K2</f>
        <v>26</v>
      </c>
      <c r="M2" s="4" t="n">
        <f aca="false">ROUND(0.75*I2+0.25*K2,2)</f>
        <v>7</v>
      </c>
      <c r="N2" s="4" t="n">
        <f aca="false">ROUND(0.7*J2+0.3*K2,2)</f>
        <v>6.3</v>
      </c>
      <c r="O2" s="4" t="n">
        <f aca="false">ROUND((H2+J2+K2)/3,2)</f>
        <v>6.33</v>
      </c>
      <c r="P2" s="4" t="n">
        <f aca="false">ROUND(0.85*H2+0.15*J2,2)</f>
        <v>6</v>
      </c>
      <c r="Q2" s="4" t="n">
        <f aca="false">ROUND(0.6*J2+0.3*I2+0.1*H2,2)</f>
        <v>6.3</v>
      </c>
      <c r="R2" s="4" t="n">
        <f aca="false">ROUND(0.7*I2+0.2*J2+0.1*K2,2)</f>
        <v>6.8</v>
      </c>
      <c r="S2" s="4" t="n">
        <f aca="false">ROUND(0.13*I2+0.35*J2+0.52*K2,2)</f>
        <v>6.65</v>
      </c>
      <c r="T2" s="4" t="n">
        <f aca="false">ROUND(0.4*I2+0.5*J2+0.1*K2,2)</f>
        <v>6.5</v>
      </c>
      <c r="U2" s="4" t="n">
        <f aca="false">ROUND(0.1*I2+0.55*J2+0.35*K2,2)</f>
        <v>6.45</v>
      </c>
      <c r="V2" s="4" t="n">
        <f aca="false">ROUND(0.6*I2+0.1*J2+0.3*K2,2)</f>
        <v>6.9</v>
      </c>
      <c r="W2" s="4" t="n">
        <f aca="false">ROUND(0.15*I2+0.3*J2+0.55*K2,2)</f>
        <v>6.7</v>
      </c>
      <c r="X2" s="4" t="n">
        <f aca="false">ROUND(0.46*I2+0.46*J2+0.08*K2,2)</f>
        <v>6.54</v>
      </c>
      <c r="Y2" s="4" t="str">
        <f aca="false">IF(H2=MAX(H2:K2),"Pitcher (arm-first)",IF(I2=MAX(H2:K2),"Bat-first (corner/1B/DH)",IF(J2=MAX(H2:K2),"Defense-first (up-the-middle)","Speed-first (CF/leadoff)")))</f>
        <v>Bat-first (corner/1B/DH)</v>
      </c>
      <c r="Z2" s="5" t="n">
        <f aca="false">P2</f>
        <v>6</v>
      </c>
      <c r="AA2" s="5" t="n">
        <f aca="false">IF(F2="Right",Q2,-1)</f>
        <v>6.3</v>
      </c>
      <c r="AB2" s="5" t="n">
        <f aca="false">R2</f>
        <v>6.8</v>
      </c>
      <c r="AC2" s="5" t="n">
        <f aca="false">IF(F2="Right",S2,-1)</f>
        <v>6.65</v>
      </c>
      <c r="AD2" s="5" t="n">
        <f aca="false">IF(F2="Right",T2,-1)</f>
        <v>6.5</v>
      </c>
      <c r="AE2" s="5" t="n">
        <f aca="false">IF(F2="Right",U2,-1)</f>
        <v>6.45</v>
      </c>
      <c r="AF2" s="5" t="n">
        <f aca="false">V2</f>
        <v>6.9</v>
      </c>
      <c r="AG2" s="5" t="n">
        <f aca="false">W2</f>
        <v>6.7</v>
      </c>
      <c r="AH2" s="5" t="n">
        <f aca="false">X2</f>
        <v>6.54</v>
      </c>
      <c r="AI2" s="4" t="str">
        <f aca="false">INDEX($Z$1:$AH$1,MATCH(MAX(Z2:AH2),Z2:AH2,0))</f>
        <v>LF</v>
      </c>
      <c r="AJ2" s="4" t="n">
        <f aca="false">MAX(Z2:AH2)</f>
        <v>6.9</v>
      </c>
      <c r="AK2" s="4" t="n">
        <f aca="false">SUMPRODUCT(($AI$2:$AI$73=AI2)*($AJ$2:$AJ$73&gt;AJ2))+SUMPRODUCT(($AI$2:$AI$73=AI2)*($AJ$2:$AJ$73=AJ2)*(ROW($AI$2:$AI$73)&lt;ROW(AI2)))+1</f>
        <v>1</v>
      </c>
      <c r="AL2" s="6" t="n">
        <f aca="false">SQRT((H2-'MLB Archetypes'!$C$2)^2+(I2-'MLB Archetypes'!$D$2)^2+(J2-'MLB Archetypes'!$E$2)^2+(K2-'MLB Archetypes'!$F$2)^2)</f>
        <v>7.61577310586391</v>
      </c>
      <c r="AM2" s="6" t="n">
        <f aca="false">SQRT((H2-'MLB Archetypes'!$C$3)^2+(I2-'MLB Archetypes'!$D$3)^2+(J2-'MLB Archetypes'!$E$3)^2+(K2-'MLB Archetypes'!$F$3)^2)</f>
        <v>6.40312423743285</v>
      </c>
      <c r="AN2" s="6" t="n">
        <f aca="false">SQRT((H2-'MLB Archetypes'!$C$4)^2+(I2-'MLB Archetypes'!$D$4)^2+(J2-'MLB Archetypes'!$E$4)^2+(K2-'MLB Archetypes'!$F$4)^2)</f>
        <v>6.40312423743285</v>
      </c>
      <c r="AO2" s="6" t="n">
        <f aca="false">SQRT((H2-'MLB Archetypes'!$C$5)^2+(I2-'MLB Archetypes'!$D$5)^2+(J2-'MLB Archetypes'!$E$5)^2+(K2-'MLB Archetypes'!$F$5)^2)</f>
        <v>5.47722557505166</v>
      </c>
      <c r="AP2" s="6" t="n">
        <f aca="false">SQRT((H2-'MLB Archetypes'!$C$6)^2+(I2-'MLB Archetypes'!$D$6)^2+(J2-'MLB Archetypes'!$E$6)^2+(K2-'MLB Archetypes'!$F$6)^2)</f>
        <v>6</v>
      </c>
      <c r="AQ2" s="6" t="n">
        <f aca="false">SQRT((H2-'MLB Archetypes'!$C$7)^2+(I2-'MLB Archetypes'!$D$7)^2+(J2-'MLB Archetypes'!$E$7)^2+(K2-'MLB Archetypes'!$F$7)^2)</f>
        <v>5.91607978309962</v>
      </c>
      <c r="AR2" s="6" t="n">
        <f aca="false">SQRT((H2-'MLB Archetypes'!$C$8)^2+(I2-'MLB Archetypes'!$D$8)^2+(J2-'MLB Archetypes'!$E$8)^2+(K2-'MLB Archetypes'!$F$8)^2)</f>
        <v>4.35889894354067</v>
      </c>
      <c r="AS2" s="6" t="n">
        <f aca="false">SQRT((H2-'MLB Archetypes'!$C$9)^2+(I2-'MLB Archetypes'!$D$9)^2+(J2-'MLB Archetypes'!$E$9)^2+(K2-'MLB Archetypes'!$F$9)^2)</f>
        <v>4.58257569495584</v>
      </c>
      <c r="AT2" s="6" t="n">
        <f aca="false">SQRT((H2-'MLB Archetypes'!$C$10)^2+(I2-'MLB Archetypes'!$D$10)^2+(J2-'MLB Archetypes'!$E$10)^2+(K2-'MLB Archetypes'!$F$10)^2)</f>
        <v>5.47722557505166</v>
      </c>
      <c r="AU2" s="6" t="n">
        <f aca="false">SQRT((H2-'MLB Archetypes'!$C$11)^2+(I2-'MLB Archetypes'!$D$11)^2+(J2-'MLB Archetypes'!$E$11)^2+(K2-'MLB Archetypes'!$F$11)^2)</f>
        <v>5.3851648071345</v>
      </c>
      <c r="AV2" s="6" t="n">
        <f aca="false">SQRT((H2-'MLB Archetypes'!$C$12)^2+(I2-'MLB Archetypes'!$D$12)^2+(J2-'MLB Archetypes'!$E$12)^2+(K2-'MLB Archetypes'!$F$12)^2)</f>
        <v>6.92820323027551</v>
      </c>
      <c r="AW2" s="6" t="n">
        <f aca="false">SQRT((H2-'MLB Archetypes'!$C$13)^2+(I2-'MLB Archetypes'!$D$13)^2+(J2-'MLB Archetypes'!$E$13)^2+(K2-'MLB Archetypes'!$F$13)^2)</f>
        <v>5.74456264653803</v>
      </c>
      <c r="AX2" s="6" t="n">
        <f aca="false">SQRT((H2-'MLB Archetypes'!$C$14)^2+(I2-'MLB Archetypes'!$D$14)^2+(J2-'MLB Archetypes'!$E$14)^2+(K2-'MLB Archetypes'!$F$14)^2)</f>
        <v>4.89897948556636</v>
      </c>
      <c r="AY2" s="6" t="n">
        <f aca="false">SQRT((H2-'MLB Archetypes'!$C$15)^2+(I2-'MLB Archetypes'!$D$15)^2+(J2-'MLB Archetypes'!$E$15)^2+(K2-'MLB Archetypes'!$F$15)^2)</f>
        <v>5.19615242270663</v>
      </c>
      <c r="AZ2" s="6" t="n">
        <f aca="false">SQRT((H2-'MLB Archetypes'!$C$16)^2+(I2-'MLB Archetypes'!$D$16)^2+(J2-'MLB Archetypes'!$E$16)^2+(K2-'MLB Archetypes'!$F$16)^2)</f>
        <v>5.19615242270663</v>
      </c>
      <c r="BA2" s="6" t="n">
        <f aca="false">SQRT((H2-'MLB Archetypes'!$C$17)^2+(I2-'MLB Archetypes'!$D$17)^2+(J2-'MLB Archetypes'!$E$17)^2+(K2-'MLB Archetypes'!$F$17)^2)</f>
        <v>4.58257569495584</v>
      </c>
      <c r="BB2" s="6" t="n">
        <f aca="false">SQRT((H2-'MLB Archetypes'!$C$18)^2+(I2-'MLB Archetypes'!$D$18)^2+(J2-'MLB Archetypes'!$E$18)^2+(K2-'MLB Archetypes'!$F$18)^2)</f>
        <v>4.89897948556636</v>
      </c>
      <c r="BC2" s="6" t="n">
        <f aca="false">SQRT((H2-'MLB Archetypes'!$C$19)^2+(I2-'MLB Archetypes'!$D$19)^2+(J2-'MLB Archetypes'!$E$19)^2+(K2-'MLB Archetypes'!$F$19)^2)</f>
        <v>4.58257569495584</v>
      </c>
      <c r="BD2" s="4" t="str">
        <f aca="false">INDEX('MLB Archetypes'!$B$2:$B$19,MATCH(MIN(AL2:BC2),AL2:BC2,0))</f>
        <v>Jackie Robinson</v>
      </c>
      <c r="BE2" s="7" t="n">
        <f aca="false">ROUND(10-MIN(AL2:BC2)/1.8,1)</f>
        <v>7.6</v>
      </c>
    </row>
    <row r="3" customFormat="false" ht="15" hidden="false" customHeight="false" outlineLevel="0" collapsed="false">
      <c r="A3" s="2" t="s">
        <v>53</v>
      </c>
      <c r="B3" s="2" t="s">
        <v>54</v>
      </c>
      <c r="C3" s="2" t="s">
        <v>53</v>
      </c>
      <c r="D3" s="2" t="s">
        <v>50</v>
      </c>
      <c r="E3" s="2" t="s">
        <v>51</v>
      </c>
      <c r="F3" s="2" t="s">
        <v>52</v>
      </c>
      <c r="G3" s="2" t="s">
        <v>52</v>
      </c>
      <c r="H3" s="3" t="n">
        <v>9</v>
      </c>
      <c r="I3" s="3" t="n">
        <v>4</v>
      </c>
      <c r="J3" s="3" t="n">
        <v>8</v>
      </c>
      <c r="K3" s="3" t="n">
        <v>5</v>
      </c>
      <c r="L3" s="4" t="n">
        <f aca="false">H3+I3+J3+K3</f>
        <v>26</v>
      </c>
      <c r="M3" s="4" t="n">
        <f aca="false">ROUND(0.75*I3+0.25*K3,2)</f>
        <v>4.25</v>
      </c>
      <c r="N3" s="4" t="n">
        <f aca="false">ROUND(0.7*J3+0.3*K3,2)</f>
        <v>7.1</v>
      </c>
      <c r="O3" s="4" t="n">
        <f aca="false">ROUND((H3+J3+K3)/3,2)</f>
        <v>7.33</v>
      </c>
      <c r="P3" s="4" t="n">
        <f aca="false">ROUND(0.85*H3+0.15*J3,2)</f>
        <v>8.85</v>
      </c>
      <c r="Q3" s="4" t="n">
        <f aca="false">ROUND(0.6*J3+0.3*I3+0.1*H3,2)</f>
        <v>6.9</v>
      </c>
      <c r="R3" s="4" t="n">
        <f aca="false">ROUND(0.7*I3+0.2*J3+0.1*K3,2)</f>
        <v>4.9</v>
      </c>
      <c r="S3" s="4" t="n">
        <f aca="false">ROUND(0.13*I3+0.35*J3+0.52*K3,2)</f>
        <v>5.92</v>
      </c>
      <c r="T3" s="4" t="n">
        <f aca="false">ROUND(0.4*I3+0.5*J3+0.1*K3,2)</f>
        <v>6.1</v>
      </c>
      <c r="U3" s="4" t="n">
        <f aca="false">ROUND(0.1*I3+0.55*J3+0.35*K3,2)</f>
        <v>6.55</v>
      </c>
      <c r="V3" s="4" t="n">
        <f aca="false">ROUND(0.6*I3+0.1*J3+0.3*K3,2)</f>
        <v>4.7</v>
      </c>
      <c r="W3" s="4" t="n">
        <f aca="false">ROUND(0.15*I3+0.3*J3+0.55*K3,2)</f>
        <v>5.75</v>
      </c>
      <c r="X3" s="4" t="n">
        <f aca="false">ROUND(0.46*I3+0.46*J3+0.08*K3,2)</f>
        <v>5.92</v>
      </c>
      <c r="Y3" s="4" t="str">
        <f aca="false">IF(H3=MAX(H3:K3),"Pitcher (arm-first)",IF(I3=MAX(H3:K3),"Bat-first (corner/1B/DH)",IF(J3=MAX(H3:K3),"Defense-first (up-the-middle)","Speed-first (CF/leadoff)")))</f>
        <v>Pitcher (arm-first)</v>
      </c>
      <c r="Z3" s="5" t="n">
        <f aca="false">P3</f>
        <v>8.85</v>
      </c>
      <c r="AA3" s="5" t="n">
        <f aca="false">IF(F3="Right",Q3,-1)</f>
        <v>6.9</v>
      </c>
      <c r="AB3" s="5" t="n">
        <f aca="false">R3</f>
        <v>4.9</v>
      </c>
      <c r="AC3" s="5" t="n">
        <f aca="false">IF(F3="Right",S3,-1)</f>
        <v>5.92</v>
      </c>
      <c r="AD3" s="5" t="n">
        <f aca="false">IF(F3="Right",T3,-1)</f>
        <v>6.1</v>
      </c>
      <c r="AE3" s="5" t="n">
        <f aca="false">IF(F3="Right",U3,-1)</f>
        <v>6.55</v>
      </c>
      <c r="AF3" s="5" t="n">
        <f aca="false">V3</f>
        <v>4.7</v>
      </c>
      <c r="AG3" s="5" t="n">
        <f aca="false">W3</f>
        <v>5.75</v>
      </c>
      <c r="AH3" s="5" t="n">
        <f aca="false">X3</f>
        <v>5.92</v>
      </c>
      <c r="AI3" s="4" t="str">
        <f aca="false">INDEX($Z$1:$AH$1,MATCH(MAX(Z3:AH3),Z3:AH3,0))</f>
        <v>P</v>
      </c>
      <c r="AJ3" s="4" t="n">
        <f aca="false">MAX(Z3:AH3)</f>
        <v>8.85</v>
      </c>
      <c r="AK3" s="4" t="n">
        <f aca="false">SUMPRODUCT(($AI$2:$AI$73=AI3)*($AJ$2:$AJ$73&gt;AJ3))+SUMPRODUCT(($AI$2:$AI$73=AI3)*($AJ$2:$AJ$73=AJ3)*(ROW($AI$2:$AI$73)&lt;ROW(AI3)))+1</f>
        <v>1</v>
      </c>
      <c r="AL3" s="6" t="n">
        <f aca="false">SQRT((H3-'MLB Archetypes'!$C$2)^2+(I3-'MLB Archetypes'!$D$2)^2+(J3-'MLB Archetypes'!$E$2)^2+(K3-'MLB Archetypes'!$F$2)^2)</f>
        <v>4.24264068711929</v>
      </c>
      <c r="AM3" s="6" t="n">
        <f aca="false">SQRT((H3-'MLB Archetypes'!$C$3)^2+(I3-'MLB Archetypes'!$D$3)^2+(J3-'MLB Archetypes'!$E$3)^2+(K3-'MLB Archetypes'!$F$3)^2)</f>
        <v>3</v>
      </c>
      <c r="AN3" s="6" t="n">
        <f aca="false">SQRT((H3-'MLB Archetypes'!$C$4)^2+(I3-'MLB Archetypes'!$D$4)^2+(J3-'MLB Archetypes'!$E$4)^2+(K3-'MLB Archetypes'!$F$4)^2)</f>
        <v>7.93725393319377</v>
      </c>
      <c r="AO3" s="6" t="n">
        <f aca="false">SQRT((H3-'MLB Archetypes'!$C$5)^2+(I3-'MLB Archetypes'!$D$5)^2+(J3-'MLB Archetypes'!$E$5)^2+(K3-'MLB Archetypes'!$F$5)^2)</f>
        <v>7.34846922834953</v>
      </c>
      <c r="AP3" s="6" t="n">
        <f aca="false">SQRT((H3-'MLB Archetypes'!$C$6)^2+(I3-'MLB Archetypes'!$D$6)^2+(J3-'MLB Archetypes'!$E$6)^2+(K3-'MLB Archetypes'!$F$6)^2)</f>
        <v>9.05538513813742</v>
      </c>
      <c r="AQ3" s="6" t="n">
        <f aca="false">SQRT((H3-'MLB Archetypes'!$C$7)^2+(I3-'MLB Archetypes'!$D$7)^2+(J3-'MLB Archetypes'!$E$7)^2+(K3-'MLB Archetypes'!$F$7)^2)</f>
        <v>7.41619848709566</v>
      </c>
      <c r="AR3" s="6" t="n">
        <f aca="false">SQRT((H3-'MLB Archetypes'!$C$8)^2+(I3-'MLB Archetypes'!$D$8)^2+(J3-'MLB Archetypes'!$E$8)^2+(K3-'MLB Archetypes'!$F$8)^2)</f>
        <v>7.93725393319377</v>
      </c>
      <c r="AS3" s="6" t="n">
        <f aca="false">SQRT((H3-'MLB Archetypes'!$C$9)^2+(I3-'MLB Archetypes'!$D$9)^2+(J3-'MLB Archetypes'!$E$9)^2+(K3-'MLB Archetypes'!$F$9)^2)</f>
        <v>7.68114574786861</v>
      </c>
      <c r="AT3" s="6" t="n">
        <f aca="false">SQRT((H3-'MLB Archetypes'!$C$10)^2+(I3-'MLB Archetypes'!$D$10)^2+(J3-'MLB Archetypes'!$E$10)^2+(K3-'MLB Archetypes'!$F$10)^2)</f>
        <v>8.12403840463596</v>
      </c>
      <c r="AU3" s="6" t="n">
        <f aca="false">SQRT((H3-'MLB Archetypes'!$C$11)^2+(I3-'MLB Archetypes'!$D$11)^2+(J3-'MLB Archetypes'!$E$11)^2+(K3-'MLB Archetypes'!$F$11)^2)</f>
        <v>8.88819441731559</v>
      </c>
      <c r="AV3" s="6" t="n">
        <f aca="false">SQRT((H3-'MLB Archetypes'!$C$12)^2+(I3-'MLB Archetypes'!$D$12)^2+(J3-'MLB Archetypes'!$E$12)^2+(K3-'MLB Archetypes'!$F$12)^2)</f>
        <v>7.61577310586391</v>
      </c>
      <c r="AW3" s="6" t="n">
        <f aca="false">SQRT((H3-'MLB Archetypes'!$C$13)^2+(I3-'MLB Archetypes'!$D$13)^2+(J3-'MLB Archetypes'!$E$13)^2+(K3-'MLB Archetypes'!$F$13)^2)</f>
        <v>7.93725393319377</v>
      </c>
      <c r="AX3" s="6" t="n">
        <f aca="false">SQRT((H3-'MLB Archetypes'!$C$14)^2+(I3-'MLB Archetypes'!$D$14)^2+(J3-'MLB Archetypes'!$E$14)^2+(K3-'MLB Archetypes'!$F$14)^2)</f>
        <v>8.83176086632785</v>
      </c>
      <c r="AY3" s="6" t="n">
        <f aca="false">SQRT((H3-'MLB Archetypes'!$C$15)^2+(I3-'MLB Archetypes'!$D$15)^2+(J3-'MLB Archetypes'!$E$15)^2+(K3-'MLB Archetypes'!$F$15)^2)</f>
        <v>9.32737905308882</v>
      </c>
      <c r="AZ3" s="6" t="n">
        <f aca="false">SQRT((H3-'MLB Archetypes'!$C$16)^2+(I3-'MLB Archetypes'!$D$16)^2+(J3-'MLB Archetypes'!$E$16)^2+(K3-'MLB Archetypes'!$F$16)^2)</f>
        <v>8.66025403784439</v>
      </c>
      <c r="BA3" s="6" t="n">
        <f aca="false">SQRT((H3-'MLB Archetypes'!$C$17)^2+(I3-'MLB Archetypes'!$D$17)^2+(J3-'MLB Archetypes'!$E$17)^2+(K3-'MLB Archetypes'!$F$17)^2)</f>
        <v>8.66025403784439</v>
      </c>
      <c r="BB3" s="6" t="n">
        <f aca="false">SQRT((H3-'MLB Archetypes'!$C$18)^2+(I3-'MLB Archetypes'!$D$18)^2+(J3-'MLB Archetypes'!$E$18)^2+(K3-'MLB Archetypes'!$F$18)^2)</f>
        <v>8.83176086632785</v>
      </c>
      <c r="BC3" s="6" t="n">
        <f aca="false">SQRT((H3-'MLB Archetypes'!$C$19)^2+(I3-'MLB Archetypes'!$D$19)^2+(J3-'MLB Archetypes'!$E$19)^2+(K3-'MLB Archetypes'!$F$19)^2)</f>
        <v>7.68114574786861</v>
      </c>
      <c r="BD3" s="4" t="str">
        <f aca="false">INDEX('MLB Archetypes'!$B$2:$B$19,MATCH(MIN(AL3:BC3),AL3:BC3,0))</f>
        <v>Greg Maddux</v>
      </c>
      <c r="BE3" s="7" t="n">
        <f aca="false">ROUND(10-MIN(AL3:BC3)/1.8,1)</f>
        <v>8.3</v>
      </c>
    </row>
    <row r="4" customFormat="false" ht="15" hidden="false" customHeight="false" outlineLevel="0" collapsed="false">
      <c r="A4" s="2" t="s">
        <v>55</v>
      </c>
      <c r="B4" s="2" t="s">
        <v>56</v>
      </c>
      <c r="C4" s="2" t="s">
        <v>55</v>
      </c>
      <c r="D4" s="2" t="s">
        <v>50</v>
      </c>
      <c r="E4" s="2" t="s">
        <v>51</v>
      </c>
      <c r="F4" s="2" t="s">
        <v>52</v>
      </c>
      <c r="G4" s="2" t="s">
        <v>57</v>
      </c>
      <c r="H4" s="3" t="n">
        <v>4</v>
      </c>
      <c r="I4" s="3" t="n">
        <v>4</v>
      </c>
      <c r="J4" s="3" t="n">
        <v>6</v>
      </c>
      <c r="K4" s="3" t="n">
        <v>9</v>
      </c>
      <c r="L4" s="4" t="n">
        <f aca="false">H4+I4+J4+K4</f>
        <v>23</v>
      </c>
      <c r="M4" s="4" t="n">
        <f aca="false">ROUND(0.75*I4+0.25*K4,2)</f>
        <v>5.25</v>
      </c>
      <c r="N4" s="4" t="n">
        <f aca="false">ROUND(0.7*J4+0.3*K4,2)</f>
        <v>6.9</v>
      </c>
      <c r="O4" s="4" t="n">
        <f aca="false">ROUND((H4+J4+K4)/3,2)</f>
        <v>6.33</v>
      </c>
      <c r="P4" s="4" t="n">
        <f aca="false">ROUND(0.85*H4+0.15*J4,2)</f>
        <v>4.3</v>
      </c>
      <c r="Q4" s="4" t="n">
        <f aca="false">ROUND(0.6*J4+0.3*I4+0.1*H4,2)</f>
        <v>5.2</v>
      </c>
      <c r="R4" s="4" t="n">
        <f aca="false">ROUND(0.7*I4+0.2*J4+0.1*K4,2)</f>
        <v>4.9</v>
      </c>
      <c r="S4" s="4" t="n">
        <f aca="false">ROUND(0.13*I4+0.35*J4+0.52*K4,2)</f>
        <v>7.3</v>
      </c>
      <c r="T4" s="4" t="n">
        <f aca="false">ROUND(0.4*I4+0.5*J4+0.1*K4,2)</f>
        <v>5.5</v>
      </c>
      <c r="U4" s="4" t="n">
        <f aca="false">ROUND(0.1*I4+0.55*J4+0.35*K4,2)</f>
        <v>6.85</v>
      </c>
      <c r="V4" s="4" t="n">
        <f aca="false">ROUND(0.6*I4+0.1*J4+0.3*K4,2)</f>
        <v>5.7</v>
      </c>
      <c r="W4" s="4" t="n">
        <f aca="false">ROUND(0.15*I4+0.3*J4+0.55*K4,2)</f>
        <v>7.35</v>
      </c>
      <c r="X4" s="4" t="n">
        <f aca="false">ROUND(0.46*I4+0.46*J4+0.08*K4,2)</f>
        <v>5.32</v>
      </c>
      <c r="Y4" s="4" t="str">
        <f aca="false">IF(H4=MAX(H4:K4),"Pitcher (arm-first)",IF(I4=MAX(H4:K4),"Bat-first (corner/1B/DH)",IF(J4=MAX(H4:K4),"Defense-first (up-the-middle)","Speed-first (CF/leadoff)")))</f>
        <v>Speed-first (CF/leadoff)</v>
      </c>
      <c r="Z4" s="5" t="n">
        <f aca="false">P4</f>
        <v>4.3</v>
      </c>
      <c r="AA4" s="5" t="n">
        <f aca="false">IF(F4="Right",Q4,-1)</f>
        <v>5.2</v>
      </c>
      <c r="AB4" s="5" t="n">
        <f aca="false">R4</f>
        <v>4.9</v>
      </c>
      <c r="AC4" s="5" t="n">
        <f aca="false">IF(F4="Right",S4,-1)</f>
        <v>7.3</v>
      </c>
      <c r="AD4" s="5" t="n">
        <f aca="false">IF(F4="Right",T4,-1)</f>
        <v>5.5</v>
      </c>
      <c r="AE4" s="5" t="n">
        <f aca="false">IF(F4="Right",U4,-1)</f>
        <v>6.85</v>
      </c>
      <c r="AF4" s="5" t="n">
        <f aca="false">V4</f>
        <v>5.7</v>
      </c>
      <c r="AG4" s="5" t="n">
        <f aca="false">W4</f>
        <v>7.35</v>
      </c>
      <c r="AH4" s="5" t="n">
        <f aca="false">X4</f>
        <v>5.32</v>
      </c>
      <c r="AI4" s="4" t="str">
        <f aca="false">INDEX($Z$1:$AH$1,MATCH(MAX(Z4:AH4),Z4:AH4,0))</f>
        <v>CF</v>
      </c>
      <c r="AJ4" s="4" t="n">
        <f aca="false">MAX(Z4:AH4)</f>
        <v>7.35</v>
      </c>
      <c r="AK4" s="4" t="n">
        <f aca="false">SUMPRODUCT(($AI$2:$AI$73=AI4)*($AJ$2:$AJ$73&gt;AJ4))+SUMPRODUCT(($AI$2:$AI$73=AI4)*($AJ$2:$AJ$73=AJ4)*(ROW($AI$2:$AI$73)&lt;ROW(AI4)))+1</f>
        <v>1</v>
      </c>
      <c r="AL4" s="6" t="n">
        <f aca="false">SQRT((H4-'MLB Archetypes'!$C$2)^2+(I4-'MLB Archetypes'!$D$2)^2+(J4-'MLB Archetypes'!$E$2)^2+(K4-'MLB Archetypes'!$F$2)^2)</f>
        <v>8.77496438739212</v>
      </c>
      <c r="AM4" s="6" t="n">
        <f aca="false">SQRT((H4-'MLB Archetypes'!$C$3)^2+(I4-'MLB Archetypes'!$D$3)^2+(J4-'MLB Archetypes'!$E$3)^2+(K4-'MLB Archetypes'!$F$3)^2)</f>
        <v>7.87400787401181</v>
      </c>
      <c r="AN4" s="6" t="n">
        <f aca="false">SQRT((H4-'MLB Archetypes'!$C$4)^2+(I4-'MLB Archetypes'!$D$4)^2+(J4-'MLB Archetypes'!$E$4)^2+(K4-'MLB Archetypes'!$F$4)^2)</f>
        <v>7.61577310586391</v>
      </c>
      <c r="AO4" s="6" t="n">
        <f aca="false">SQRT((H4-'MLB Archetypes'!$C$5)^2+(I4-'MLB Archetypes'!$D$5)^2+(J4-'MLB Archetypes'!$E$5)^2+(K4-'MLB Archetypes'!$F$5)^2)</f>
        <v>6.08276253029822</v>
      </c>
      <c r="AP4" s="6" t="n">
        <f aca="false">SQRT((H4-'MLB Archetypes'!$C$6)^2+(I4-'MLB Archetypes'!$D$6)^2+(J4-'MLB Archetypes'!$E$6)^2+(K4-'MLB Archetypes'!$F$6)^2)</f>
        <v>8.06225774829855</v>
      </c>
      <c r="AQ4" s="6" t="n">
        <f aca="false">SQRT((H4-'MLB Archetypes'!$C$7)^2+(I4-'MLB Archetypes'!$D$7)^2+(J4-'MLB Archetypes'!$E$7)^2+(K4-'MLB Archetypes'!$F$7)^2)</f>
        <v>6.48074069840786</v>
      </c>
      <c r="AR4" s="6" t="n">
        <f aca="false">SQRT((H4-'MLB Archetypes'!$C$8)^2+(I4-'MLB Archetypes'!$D$8)^2+(J4-'MLB Archetypes'!$E$8)^2+(K4-'MLB Archetypes'!$F$8)^2)</f>
        <v>3.16227766016838</v>
      </c>
      <c r="AS4" s="6" t="n">
        <f aca="false">SQRT((H4-'MLB Archetypes'!$C$9)^2+(I4-'MLB Archetypes'!$D$9)^2+(J4-'MLB Archetypes'!$E$9)^2+(K4-'MLB Archetypes'!$F$9)^2)</f>
        <v>5.09901951359278</v>
      </c>
      <c r="AT4" s="6" t="n">
        <f aca="false">SQRT((H4-'MLB Archetypes'!$C$10)^2+(I4-'MLB Archetypes'!$D$10)^2+(J4-'MLB Archetypes'!$E$10)^2+(K4-'MLB Archetypes'!$F$10)^2)</f>
        <v>7</v>
      </c>
      <c r="AU4" s="6" t="n">
        <f aca="false">SQRT((H4-'MLB Archetypes'!$C$11)^2+(I4-'MLB Archetypes'!$D$11)^2+(J4-'MLB Archetypes'!$E$11)^2+(K4-'MLB Archetypes'!$F$11)^2)</f>
        <v>7.34846922834953</v>
      </c>
      <c r="AV4" s="6" t="n">
        <f aca="false">SQRT((H4-'MLB Archetypes'!$C$12)^2+(I4-'MLB Archetypes'!$D$12)^2+(J4-'MLB Archetypes'!$E$12)^2+(K4-'MLB Archetypes'!$F$12)^2)</f>
        <v>5</v>
      </c>
      <c r="AW4" s="6" t="n">
        <f aca="false">SQRT((H4-'MLB Archetypes'!$C$13)^2+(I4-'MLB Archetypes'!$D$13)^2+(J4-'MLB Archetypes'!$E$13)^2+(K4-'MLB Archetypes'!$F$13)^2)</f>
        <v>7.07106781186548</v>
      </c>
      <c r="AX4" s="6" t="n">
        <f aca="false">SQRT((H4-'MLB Archetypes'!$C$14)^2+(I4-'MLB Archetypes'!$D$14)^2+(J4-'MLB Archetypes'!$E$14)^2+(K4-'MLB Archetypes'!$F$14)^2)</f>
        <v>6.70820393249937</v>
      </c>
      <c r="AY4" s="6" t="n">
        <f aca="false">SQRT((H4-'MLB Archetypes'!$C$15)^2+(I4-'MLB Archetypes'!$D$15)^2+(J4-'MLB Archetypes'!$E$15)^2+(K4-'MLB Archetypes'!$F$15)^2)</f>
        <v>3.16227766016838</v>
      </c>
      <c r="AZ4" s="6" t="n">
        <f aca="false">SQRT((H4-'MLB Archetypes'!$C$16)^2+(I4-'MLB Archetypes'!$D$16)^2+(J4-'MLB Archetypes'!$E$16)^2+(K4-'MLB Archetypes'!$F$16)^2)</f>
        <v>5.47722557505166</v>
      </c>
      <c r="BA4" s="6" t="n">
        <f aca="false">SQRT((H4-'MLB Archetypes'!$C$17)^2+(I4-'MLB Archetypes'!$D$17)^2+(J4-'MLB Archetypes'!$E$17)^2+(K4-'MLB Archetypes'!$F$17)^2)</f>
        <v>3.74165738677394</v>
      </c>
      <c r="BB4" s="6" t="n">
        <f aca="false">SQRT((H4-'MLB Archetypes'!$C$18)^2+(I4-'MLB Archetypes'!$D$18)^2+(J4-'MLB Archetypes'!$E$18)^2+(K4-'MLB Archetypes'!$F$18)^2)</f>
        <v>6.70820393249937</v>
      </c>
      <c r="BC4" s="6" t="n">
        <f aca="false">SQRT((H4-'MLB Archetypes'!$C$19)^2+(I4-'MLB Archetypes'!$D$19)^2+(J4-'MLB Archetypes'!$E$19)^2+(K4-'MLB Archetypes'!$F$19)^2)</f>
        <v>5.09901951359278</v>
      </c>
      <c r="BD4" s="4" t="str">
        <f aca="false">INDEX('MLB Archetypes'!$B$2:$B$19,MATCH(MIN(AL4:BC4),AL4:BC4,0))</f>
        <v>Jackie Robinson</v>
      </c>
      <c r="BE4" s="7" t="n">
        <f aca="false">ROUND(10-MIN(AL4:BC4)/1.8,1)</f>
        <v>8.2</v>
      </c>
    </row>
    <row r="5" customFormat="false" ht="15" hidden="false" customHeight="false" outlineLevel="0" collapsed="false">
      <c r="A5" s="2" t="s">
        <v>58</v>
      </c>
      <c r="B5" s="2" t="s">
        <v>59</v>
      </c>
      <c r="C5" s="2" t="s">
        <v>58</v>
      </c>
      <c r="D5" s="2" t="s">
        <v>50</v>
      </c>
      <c r="E5" s="2" t="s">
        <v>51</v>
      </c>
      <c r="F5" s="2" t="s">
        <v>52</v>
      </c>
      <c r="G5" s="2" t="s">
        <v>52</v>
      </c>
      <c r="H5" s="3" t="n">
        <v>5</v>
      </c>
      <c r="I5" s="3" t="n">
        <v>8</v>
      </c>
      <c r="J5" s="3" t="n">
        <v>3</v>
      </c>
      <c r="K5" s="3" t="n">
        <v>4</v>
      </c>
      <c r="L5" s="4" t="n">
        <f aca="false">H5+I5+J5+K5</f>
        <v>20</v>
      </c>
      <c r="M5" s="4" t="n">
        <f aca="false">ROUND(0.75*I5+0.25*K5,2)</f>
        <v>7</v>
      </c>
      <c r="N5" s="4" t="n">
        <f aca="false">ROUND(0.7*J5+0.3*K5,2)</f>
        <v>3.3</v>
      </c>
      <c r="O5" s="4" t="n">
        <f aca="false">ROUND((H5+J5+K5)/3,2)</f>
        <v>4</v>
      </c>
      <c r="P5" s="4" t="n">
        <f aca="false">ROUND(0.85*H5+0.15*J5,2)</f>
        <v>4.7</v>
      </c>
      <c r="Q5" s="4" t="n">
        <f aca="false">ROUND(0.6*J5+0.3*I5+0.1*H5,2)</f>
        <v>4.7</v>
      </c>
      <c r="R5" s="4" t="n">
        <f aca="false">ROUND(0.7*I5+0.2*J5+0.1*K5,2)</f>
        <v>6.6</v>
      </c>
      <c r="S5" s="4" t="n">
        <f aca="false">ROUND(0.13*I5+0.35*J5+0.52*K5,2)</f>
        <v>4.17</v>
      </c>
      <c r="T5" s="4" t="n">
        <f aca="false">ROUND(0.4*I5+0.5*J5+0.1*K5,2)</f>
        <v>5.1</v>
      </c>
      <c r="U5" s="4" t="n">
        <f aca="false">ROUND(0.1*I5+0.55*J5+0.35*K5,2)</f>
        <v>3.85</v>
      </c>
      <c r="V5" s="4" t="n">
        <f aca="false">ROUND(0.6*I5+0.1*J5+0.3*K5,2)</f>
        <v>6.3</v>
      </c>
      <c r="W5" s="4" t="n">
        <f aca="false">ROUND(0.15*I5+0.3*J5+0.55*K5,2)</f>
        <v>4.3</v>
      </c>
      <c r="X5" s="4" t="n">
        <f aca="false">ROUND(0.46*I5+0.46*J5+0.08*K5,2)</f>
        <v>5.38</v>
      </c>
      <c r="Y5" s="4" t="str">
        <f aca="false">IF(H5=MAX(H5:K5),"Pitcher (arm-first)",IF(I5=MAX(H5:K5),"Bat-first (corner/1B/DH)",IF(J5=MAX(H5:K5),"Defense-first (up-the-middle)","Speed-first (CF/leadoff)")))</f>
        <v>Bat-first (corner/1B/DH)</v>
      </c>
      <c r="Z5" s="5" t="n">
        <f aca="false">P5</f>
        <v>4.7</v>
      </c>
      <c r="AA5" s="5" t="n">
        <f aca="false">IF(F5="Right",Q5,-1)</f>
        <v>4.7</v>
      </c>
      <c r="AB5" s="5" t="n">
        <f aca="false">R5</f>
        <v>6.6</v>
      </c>
      <c r="AC5" s="5" t="n">
        <f aca="false">IF(F5="Right",S5,-1)</f>
        <v>4.17</v>
      </c>
      <c r="AD5" s="5" t="n">
        <f aca="false">IF(F5="Right",T5,-1)</f>
        <v>5.1</v>
      </c>
      <c r="AE5" s="5" t="n">
        <f aca="false">IF(F5="Right",U5,-1)</f>
        <v>3.85</v>
      </c>
      <c r="AF5" s="5" t="n">
        <f aca="false">V5</f>
        <v>6.3</v>
      </c>
      <c r="AG5" s="5" t="n">
        <f aca="false">W5</f>
        <v>4.3</v>
      </c>
      <c r="AH5" s="5" t="n">
        <f aca="false">X5</f>
        <v>5.38</v>
      </c>
      <c r="AI5" s="4" t="str">
        <f aca="false">INDEX($Z$1:$AH$1,MATCH(MAX(Z5:AH5),Z5:AH5,0))</f>
        <v>1B</v>
      </c>
      <c r="AJ5" s="4" t="n">
        <f aca="false">MAX(Z5:AH5)</f>
        <v>6.6</v>
      </c>
      <c r="AK5" s="4" t="n">
        <f aca="false">SUMPRODUCT(($AI$2:$AI$73=AI5)*($AJ$2:$AJ$73&gt;AJ5))+SUMPRODUCT(($AI$2:$AI$73=AI5)*($AJ$2:$AJ$73=AJ5)*(ROW($AI$2:$AI$73)&lt;ROW(AI5)))+1</f>
        <v>9</v>
      </c>
      <c r="AL5" s="6" t="n">
        <f aca="false">SQRT((H5-'MLB Archetypes'!$C$2)^2+(I5-'MLB Archetypes'!$D$2)^2+(J5-'MLB Archetypes'!$E$2)^2+(K5-'MLB Archetypes'!$F$2)^2)</f>
        <v>8.12403840463596</v>
      </c>
      <c r="AM5" s="6" t="n">
        <f aca="false">SQRT((H5-'MLB Archetypes'!$C$3)^2+(I5-'MLB Archetypes'!$D$3)^2+(J5-'MLB Archetypes'!$E$3)^2+(K5-'MLB Archetypes'!$F$3)^2)</f>
        <v>7.14142842854285</v>
      </c>
      <c r="AN5" s="6" t="n">
        <f aca="false">SQRT((H5-'MLB Archetypes'!$C$4)^2+(I5-'MLB Archetypes'!$D$4)^2+(J5-'MLB Archetypes'!$E$4)^2+(K5-'MLB Archetypes'!$F$4)^2)</f>
        <v>6.85565460040104</v>
      </c>
      <c r="AO5" s="6" t="n">
        <f aca="false">SQRT((H5-'MLB Archetypes'!$C$5)^2+(I5-'MLB Archetypes'!$D$5)^2+(J5-'MLB Archetypes'!$E$5)^2+(K5-'MLB Archetypes'!$F$5)^2)</f>
        <v>6.16441400296898</v>
      </c>
      <c r="AP5" s="6" t="n">
        <f aca="false">SQRT((H5-'MLB Archetypes'!$C$6)^2+(I5-'MLB Archetypes'!$D$6)^2+(J5-'MLB Archetypes'!$E$6)^2+(K5-'MLB Archetypes'!$F$6)^2)</f>
        <v>4.47213595499958</v>
      </c>
      <c r="AQ5" s="6" t="n">
        <f aca="false">SQRT((H5-'MLB Archetypes'!$C$7)^2+(I5-'MLB Archetypes'!$D$7)^2+(J5-'MLB Archetypes'!$E$7)^2+(K5-'MLB Archetypes'!$F$7)^2)</f>
        <v>7</v>
      </c>
      <c r="AR5" s="6" t="n">
        <f aca="false">SQRT((H5-'MLB Archetypes'!$C$8)^2+(I5-'MLB Archetypes'!$D$8)^2+(J5-'MLB Archetypes'!$E$8)^2+(K5-'MLB Archetypes'!$F$8)^2)</f>
        <v>6.70820393249937</v>
      </c>
      <c r="AS5" s="6" t="n">
        <f aca="false">SQRT((H5-'MLB Archetypes'!$C$9)^2+(I5-'MLB Archetypes'!$D$9)^2+(J5-'MLB Archetypes'!$E$9)^2+(K5-'MLB Archetypes'!$F$9)^2)</f>
        <v>6.2449979983984</v>
      </c>
      <c r="AT5" s="6" t="n">
        <f aca="false">SQRT((H5-'MLB Archetypes'!$C$10)^2+(I5-'MLB Archetypes'!$D$10)^2+(J5-'MLB Archetypes'!$E$10)^2+(K5-'MLB Archetypes'!$F$10)^2)</f>
        <v>5.8309518948453</v>
      </c>
      <c r="AU5" s="6" t="n">
        <f aca="false">SQRT((H5-'MLB Archetypes'!$C$11)^2+(I5-'MLB Archetypes'!$D$11)^2+(J5-'MLB Archetypes'!$E$11)^2+(K5-'MLB Archetypes'!$F$11)^2)</f>
        <v>4.35889894354067</v>
      </c>
      <c r="AV5" s="6" t="n">
        <f aca="false">SQRT((H5-'MLB Archetypes'!$C$12)^2+(I5-'MLB Archetypes'!$D$12)^2+(J5-'MLB Archetypes'!$E$12)^2+(K5-'MLB Archetypes'!$F$12)^2)</f>
        <v>9.59166304662544</v>
      </c>
      <c r="AW5" s="6" t="n">
        <f aca="false">SQRT((H5-'MLB Archetypes'!$C$13)^2+(I5-'MLB Archetypes'!$D$13)^2+(J5-'MLB Archetypes'!$E$13)^2+(K5-'MLB Archetypes'!$F$13)^2)</f>
        <v>5.19615242270663</v>
      </c>
      <c r="AX5" s="6" t="n">
        <f aca="false">SQRT((H5-'MLB Archetypes'!$C$14)^2+(I5-'MLB Archetypes'!$D$14)^2+(J5-'MLB Archetypes'!$E$14)^2+(K5-'MLB Archetypes'!$F$14)^2)</f>
        <v>4.47213595499958</v>
      </c>
      <c r="AY5" s="6" t="n">
        <f aca="false">SQRT((H5-'MLB Archetypes'!$C$15)^2+(I5-'MLB Archetypes'!$D$15)^2+(J5-'MLB Archetypes'!$E$15)^2+(K5-'MLB Archetypes'!$F$15)^2)</f>
        <v>7.28010988928052</v>
      </c>
      <c r="AZ5" s="6" t="n">
        <f aca="false">SQRT((H5-'MLB Archetypes'!$C$16)^2+(I5-'MLB Archetypes'!$D$16)^2+(J5-'MLB Archetypes'!$E$16)^2+(K5-'MLB Archetypes'!$F$16)^2)</f>
        <v>7.81024967590665</v>
      </c>
      <c r="BA5" s="6" t="n">
        <f aca="false">SQRT((H5-'MLB Archetypes'!$C$17)^2+(I5-'MLB Archetypes'!$D$17)^2+(J5-'MLB Archetypes'!$E$17)^2+(K5-'MLB Archetypes'!$F$17)^2)</f>
        <v>7.14142842854285</v>
      </c>
      <c r="BB5" s="6" t="n">
        <f aca="false">SQRT((H5-'MLB Archetypes'!$C$18)^2+(I5-'MLB Archetypes'!$D$18)^2+(J5-'MLB Archetypes'!$E$18)^2+(K5-'MLB Archetypes'!$F$18)^2)</f>
        <v>4.47213595499958</v>
      </c>
      <c r="BC5" s="6" t="n">
        <f aca="false">SQRT((H5-'MLB Archetypes'!$C$19)^2+(I5-'MLB Archetypes'!$D$19)^2+(J5-'MLB Archetypes'!$E$19)^2+(K5-'MLB Archetypes'!$F$19)^2)</f>
        <v>6.2449979983984</v>
      </c>
      <c r="BD5" s="4" t="str">
        <f aca="false">INDEX('MLB Archetypes'!$B$2:$B$19,MATCH(MIN(AL5:BC5),AL5:BC5,0))</f>
        <v>George Brett</v>
      </c>
      <c r="BE5" s="7" t="n">
        <f aca="false">ROUND(10-MIN(AL5:BC5)/1.8,1)</f>
        <v>7.6</v>
      </c>
    </row>
    <row r="6" customFormat="false" ht="15" hidden="false" customHeight="false" outlineLevel="0" collapsed="false">
      <c r="A6" s="2" t="s">
        <v>60</v>
      </c>
      <c r="B6" s="2" t="s">
        <v>61</v>
      </c>
      <c r="C6" s="2" t="s">
        <v>60</v>
      </c>
      <c r="D6" s="2" t="s">
        <v>50</v>
      </c>
      <c r="E6" s="2" t="s">
        <v>51</v>
      </c>
      <c r="F6" s="2" t="s">
        <v>52</v>
      </c>
      <c r="G6" s="2" t="s">
        <v>57</v>
      </c>
      <c r="H6" s="3" t="n">
        <v>6</v>
      </c>
      <c r="I6" s="3" t="n">
        <v>9</v>
      </c>
      <c r="J6" s="3" t="n">
        <v>3</v>
      </c>
      <c r="K6" s="3" t="n">
        <v>2</v>
      </c>
      <c r="L6" s="4" t="n">
        <f aca="false">H6+I6+J6+K6</f>
        <v>20</v>
      </c>
      <c r="M6" s="4" t="n">
        <f aca="false">ROUND(0.75*I6+0.25*K6,2)</f>
        <v>7.25</v>
      </c>
      <c r="N6" s="4" t="n">
        <f aca="false">ROUND(0.7*J6+0.3*K6,2)</f>
        <v>2.7</v>
      </c>
      <c r="O6" s="4" t="n">
        <f aca="false">ROUND((H6+J6+K6)/3,2)</f>
        <v>3.67</v>
      </c>
      <c r="P6" s="4" t="n">
        <f aca="false">ROUND(0.85*H6+0.15*J6,2)</f>
        <v>5.55</v>
      </c>
      <c r="Q6" s="4" t="n">
        <f aca="false">ROUND(0.6*J6+0.3*I6+0.1*H6,2)</f>
        <v>5.1</v>
      </c>
      <c r="R6" s="4" t="n">
        <f aca="false">ROUND(0.7*I6+0.2*J6+0.1*K6,2)</f>
        <v>7.1</v>
      </c>
      <c r="S6" s="4" t="n">
        <f aca="false">ROUND(0.13*I6+0.35*J6+0.52*K6,2)</f>
        <v>3.26</v>
      </c>
      <c r="T6" s="4" t="n">
        <f aca="false">ROUND(0.4*I6+0.5*J6+0.1*K6,2)</f>
        <v>5.3</v>
      </c>
      <c r="U6" s="4" t="n">
        <f aca="false">ROUND(0.1*I6+0.55*J6+0.35*K6,2)</f>
        <v>3.25</v>
      </c>
      <c r="V6" s="4" t="n">
        <f aca="false">ROUND(0.6*I6+0.1*J6+0.3*K6,2)</f>
        <v>6.3</v>
      </c>
      <c r="W6" s="4" t="n">
        <f aca="false">ROUND(0.15*I6+0.3*J6+0.55*K6,2)</f>
        <v>3.35</v>
      </c>
      <c r="X6" s="4" t="n">
        <f aca="false">ROUND(0.46*I6+0.46*J6+0.08*K6,2)</f>
        <v>5.68</v>
      </c>
      <c r="Y6" s="4" t="str">
        <f aca="false">IF(H6=MAX(H6:K6),"Pitcher (arm-first)",IF(I6=MAX(H6:K6),"Bat-first (corner/1B/DH)",IF(J6=MAX(H6:K6),"Defense-first (up-the-middle)","Speed-first (CF/leadoff)")))</f>
        <v>Bat-first (corner/1B/DH)</v>
      </c>
      <c r="Z6" s="5" t="n">
        <f aca="false">P6</f>
        <v>5.55</v>
      </c>
      <c r="AA6" s="5" t="n">
        <f aca="false">IF(F6="Right",Q6,-1)</f>
        <v>5.1</v>
      </c>
      <c r="AB6" s="5" t="n">
        <f aca="false">R6</f>
        <v>7.1</v>
      </c>
      <c r="AC6" s="5" t="n">
        <f aca="false">IF(F6="Right",S6,-1)</f>
        <v>3.26</v>
      </c>
      <c r="AD6" s="5" t="n">
        <f aca="false">IF(F6="Right",T6,-1)</f>
        <v>5.3</v>
      </c>
      <c r="AE6" s="5" t="n">
        <f aca="false">IF(F6="Right",U6,-1)</f>
        <v>3.25</v>
      </c>
      <c r="AF6" s="5" t="n">
        <f aca="false">V6</f>
        <v>6.3</v>
      </c>
      <c r="AG6" s="5" t="n">
        <f aca="false">W6</f>
        <v>3.35</v>
      </c>
      <c r="AH6" s="5" t="n">
        <f aca="false">X6</f>
        <v>5.68</v>
      </c>
      <c r="AI6" s="4" t="str">
        <f aca="false">INDEX($Z$1:$AH$1,MATCH(MAX(Z6:AH6),Z6:AH6,0))</f>
        <v>1B</v>
      </c>
      <c r="AJ6" s="4" t="n">
        <f aca="false">MAX(Z6:AH6)</f>
        <v>7.1</v>
      </c>
      <c r="AK6" s="4" t="n">
        <f aca="false">SUMPRODUCT(($AI$2:$AI$73=AI6)*($AJ$2:$AJ$73&gt;AJ6))+SUMPRODUCT(($AI$2:$AI$73=AI6)*($AJ$2:$AJ$73=AJ6)*(ROW($AI$2:$AI$73)&lt;ROW(AI6)))+1</f>
        <v>6</v>
      </c>
      <c r="AL6" s="6" t="n">
        <f aca="false">SQRT((H6-'MLB Archetypes'!$C$2)^2+(I6-'MLB Archetypes'!$D$2)^2+(J6-'MLB Archetypes'!$E$2)^2+(K6-'MLB Archetypes'!$F$2)^2)</f>
        <v>8.36660026534076</v>
      </c>
      <c r="AM6" s="6" t="n">
        <f aca="false">SQRT((H6-'MLB Archetypes'!$C$3)^2+(I6-'MLB Archetypes'!$D$3)^2+(J6-'MLB Archetypes'!$E$3)^2+(K6-'MLB Archetypes'!$F$3)^2)</f>
        <v>7.41619848709566</v>
      </c>
      <c r="AN6" s="6" t="n">
        <f aca="false">SQRT((H6-'MLB Archetypes'!$C$4)^2+(I6-'MLB Archetypes'!$D$4)^2+(J6-'MLB Archetypes'!$E$4)^2+(K6-'MLB Archetypes'!$F$4)^2)</f>
        <v>7.54983443527075</v>
      </c>
      <c r="AO6" s="6" t="n">
        <f aca="false">SQRT((H6-'MLB Archetypes'!$C$5)^2+(I6-'MLB Archetypes'!$D$5)^2+(J6-'MLB Archetypes'!$E$5)^2+(K6-'MLB Archetypes'!$F$5)^2)</f>
        <v>7.34846922834953</v>
      </c>
      <c r="AP6" s="6" t="n">
        <f aca="false">SQRT((H6-'MLB Archetypes'!$C$6)^2+(I6-'MLB Archetypes'!$D$6)^2+(J6-'MLB Archetypes'!$E$6)^2+(K6-'MLB Archetypes'!$F$6)^2)</f>
        <v>5.09901951359278</v>
      </c>
      <c r="AQ6" s="6" t="n">
        <f aca="false">SQRT((H6-'MLB Archetypes'!$C$7)^2+(I6-'MLB Archetypes'!$D$7)^2+(J6-'MLB Archetypes'!$E$7)^2+(K6-'MLB Archetypes'!$F$7)^2)</f>
        <v>8.06225774829855</v>
      </c>
      <c r="AR6" s="6" t="n">
        <f aca="false">SQRT((H6-'MLB Archetypes'!$C$8)^2+(I6-'MLB Archetypes'!$D$8)^2+(J6-'MLB Archetypes'!$E$8)^2+(K6-'MLB Archetypes'!$F$8)^2)</f>
        <v>8.77496438739212</v>
      </c>
      <c r="AS6" s="6" t="n">
        <f aca="false">SQRT((H6-'MLB Archetypes'!$C$9)^2+(I6-'MLB Archetypes'!$D$9)^2+(J6-'MLB Archetypes'!$E$9)^2+(K6-'MLB Archetypes'!$F$9)^2)</f>
        <v>7.81024967590665</v>
      </c>
      <c r="AT6" s="6" t="n">
        <f aca="false">SQRT((H6-'MLB Archetypes'!$C$10)^2+(I6-'MLB Archetypes'!$D$10)^2+(J6-'MLB Archetypes'!$E$10)^2+(K6-'MLB Archetypes'!$F$10)^2)</f>
        <v>6.78232998312527</v>
      </c>
      <c r="AU6" s="6" t="n">
        <f aca="false">SQRT((H6-'MLB Archetypes'!$C$11)^2+(I6-'MLB Archetypes'!$D$11)^2+(J6-'MLB Archetypes'!$E$11)^2+(K6-'MLB Archetypes'!$F$11)^2)</f>
        <v>5.3851648071345</v>
      </c>
      <c r="AV6" s="6" t="n">
        <f aca="false">SQRT((H6-'MLB Archetypes'!$C$12)^2+(I6-'MLB Archetypes'!$D$12)^2+(J6-'MLB Archetypes'!$E$12)^2+(K6-'MLB Archetypes'!$F$12)^2)</f>
        <v>11.2249721603218</v>
      </c>
      <c r="AW6" s="6" t="n">
        <f aca="false">SQRT((H6-'MLB Archetypes'!$C$13)^2+(I6-'MLB Archetypes'!$D$13)^2+(J6-'MLB Archetypes'!$E$13)^2+(K6-'MLB Archetypes'!$F$13)^2)</f>
        <v>6.08276253029822</v>
      </c>
      <c r="AX6" s="6" t="n">
        <f aca="false">SQRT((H6-'MLB Archetypes'!$C$14)^2+(I6-'MLB Archetypes'!$D$14)^2+(J6-'MLB Archetypes'!$E$14)^2+(K6-'MLB Archetypes'!$F$14)^2)</f>
        <v>5.8309518948453</v>
      </c>
      <c r="AY6" s="6" t="n">
        <f aca="false">SQRT((H6-'MLB Archetypes'!$C$15)^2+(I6-'MLB Archetypes'!$D$15)^2+(J6-'MLB Archetypes'!$E$15)^2+(K6-'MLB Archetypes'!$F$15)^2)</f>
        <v>9.64365076099296</v>
      </c>
      <c r="AZ6" s="6" t="n">
        <f aca="false">SQRT((H6-'MLB Archetypes'!$C$16)^2+(I6-'MLB Archetypes'!$D$16)^2+(J6-'MLB Archetypes'!$E$16)^2+(K6-'MLB Archetypes'!$F$16)^2)</f>
        <v>9.4339811320566</v>
      </c>
      <c r="BA6" s="6" t="n">
        <f aca="false">SQRT((H6-'MLB Archetypes'!$C$17)^2+(I6-'MLB Archetypes'!$D$17)^2+(J6-'MLB Archetypes'!$E$17)^2+(K6-'MLB Archetypes'!$F$17)^2)</f>
        <v>9.21954445729289</v>
      </c>
      <c r="BB6" s="6" t="n">
        <f aca="false">SQRT((H6-'MLB Archetypes'!$C$18)^2+(I6-'MLB Archetypes'!$D$18)^2+(J6-'MLB Archetypes'!$E$18)^2+(K6-'MLB Archetypes'!$F$18)^2)</f>
        <v>5.8309518948453</v>
      </c>
      <c r="BC6" s="6" t="n">
        <f aca="false">SQRT((H6-'MLB Archetypes'!$C$19)^2+(I6-'MLB Archetypes'!$D$19)^2+(J6-'MLB Archetypes'!$E$19)^2+(K6-'MLB Archetypes'!$F$19)^2)</f>
        <v>7.81024967590665</v>
      </c>
      <c r="BD6" s="4" t="str">
        <f aca="false">INDEX('MLB Archetypes'!$B$2:$B$19,MATCH(MIN(AL6:BC6),AL6:BC6,0))</f>
        <v>Albert Pujols</v>
      </c>
      <c r="BE6" s="7" t="n">
        <f aca="false">ROUND(10-MIN(AL6:BC6)/1.8,1)</f>
        <v>7.2</v>
      </c>
    </row>
    <row r="7" customFormat="false" ht="15" hidden="false" customHeight="false" outlineLevel="0" collapsed="false">
      <c r="A7" s="2" t="s">
        <v>62</v>
      </c>
      <c r="B7" s="2" t="s">
        <v>63</v>
      </c>
      <c r="C7" s="2" t="s">
        <v>62</v>
      </c>
      <c r="D7" s="2" t="s">
        <v>50</v>
      </c>
      <c r="E7" s="2" t="s">
        <v>51</v>
      </c>
      <c r="F7" s="2" t="s">
        <v>52</v>
      </c>
      <c r="G7" s="2" t="s">
        <v>57</v>
      </c>
      <c r="H7" s="3" t="n">
        <v>5</v>
      </c>
      <c r="I7" s="3" t="n">
        <v>10</v>
      </c>
      <c r="J7" s="3" t="n">
        <v>3</v>
      </c>
      <c r="K7" s="3" t="n">
        <v>3</v>
      </c>
      <c r="L7" s="4" t="n">
        <f aca="false">H7+I7+J7+K7</f>
        <v>21</v>
      </c>
      <c r="M7" s="4" t="n">
        <f aca="false">ROUND(0.75*I7+0.25*K7,2)</f>
        <v>8.25</v>
      </c>
      <c r="N7" s="4" t="n">
        <f aca="false">ROUND(0.7*J7+0.3*K7,2)</f>
        <v>3</v>
      </c>
      <c r="O7" s="4" t="n">
        <f aca="false">ROUND((H7+J7+K7)/3,2)</f>
        <v>3.67</v>
      </c>
      <c r="P7" s="4" t="n">
        <f aca="false">ROUND(0.85*H7+0.15*J7,2)</f>
        <v>4.7</v>
      </c>
      <c r="Q7" s="4" t="n">
        <f aca="false">ROUND(0.6*J7+0.3*I7+0.1*H7,2)</f>
        <v>5.3</v>
      </c>
      <c r="R7" s="4" t="n">
        <f aca="false">ROUND(0.7*I7+0.2*J7+0.1*K7,2)</f>
        <v>7.9</v>
      </c>
      <c r="S7" s="4" t="n">
        <f aca="false">ROUND(0.13*I7+0.35*J7+0.52*K7,2)</f>
        <v>3.91</v>
      </c>
      <c r="T7" s="4" t="n">
        <f aca="false">ROUND(0.4*I7+0.5*J7+0.1*K7,2)</f>
        <v>5.8</v>
      </c>
      <c r="U7" s="4" t="n">
        <f aca="false">ROUND(0.1*I7+0.55*J7+0.35*K7,2)</f>
        <v>3.7</v>
      </c>
      <c r="V7" s="4" t="n">
        <f aca="false">ROUND(0.6*I7+0.1*J7+0.3*K7,2)</f>
        <v>7.2</v>
      </c>
      <c r="W7" s="4" t="n">
        <f aca="false">ROUND(0.15*I7+0.3*J7+0.55*K7,2)</f>
        <v>4.05</v>
      </c>
      <c r="X7" s="4" t="n">
        <f aca="false">ROUND(0.46*I7+0.46*J7+0.08*K7,2)</f>
        <v>6.22</v>
      </c>
      <c r="Y7" s="4" t="str">
        <f aca="false">IF(H7=MAX(H7:K7),"Pitcher (arm-first)",IF(I7=MAX(H7:K7),"Bat-first (corner/1B/DH)",IF(J7=MAX(H7:K7),"Defense-first (up-the-middle)","Speed-first (CF/leadoff)")))</f>
        <v>Bat-first (corner/1B/DH)</v>
      </c>
      <c r="Z7" s="5" t="n">
        <f aca="false">P7</f>
        <v>4.7</v>
      </c>
      <c r="AA7" s="5" t="n">
        <f aca="false">IF(F7="Right",Q7,-1)</f>
        <v>5.3</v>
      </c>
      <c r="AB7" s="5" t="n">
        <f aca="false">R7</f>
        <v>7.9</v>
      </c>
      <c r="AC7" s="5" t="n">
        <f aca="false">IF(F7="Right",S7,-1)</f>
        <v>3.91</v>
      </c>
      <c r="AD7" s="5" t="n">
        <f aca="false">IF(F7="Right",T7,-1)</f>
        <v>5.8</v>
      </c>
      <c r="AE7" s="5" t="n">
        <f aca="false">IF(F7="Right",U7,-1)</f>
        <v>3.7</v>
      </c>
      <c r="AF7" s="5" t="n">
        <f aca="false">V7</f>
        <v>7.2</v>
      </c>
      <c r="AG7" s="5" t="n">
        <f aca="false">W7</f>
        <v>4.05</v>
      </c>
      <c r="AH7" s="5" t="n">
        <f aca="false">X7</f>
        <v>6.22</v>
      </c>
      <c r="AI7" s="4" t="str">
        <f aca="false">INDEX($Z$1:$AH$1,MATCH(MAX(Z7:AH7),Z7:AH7,0))</f>
        <v>1B</v>
      </c>
      <c r="AJ7" s="4" t="n">
        <f aca="false">MAX(Z7:AH7)</f>
        <v>7.9</v>
      </c>
      <c r="AK7" s="4" t="n">
        <f aca="false">SUMPRODUCT(($AI$2:$AI$73=AI7)*($AJ$2:$AJ$73&gt;AJ7))+SUMPRODUCT(($AI$2:$AI$73=AI7)*($AJ$2:$AJ$73=AJ7)*(ROW($AI$2:$AI$73)&lt;ROW(AI7)))+1</f>
        <v>2</v>
      </c>
      <c r="AL7" s="6" t="n">
        <f aca="false">SQRT((H7-'MLB Archetypes'!$C$2)^2+(I7-'MLB Archetypes'!$D$2)^2+(J7-'MLB Archetypes'!$E$2)^2+(K7-'MLB Archetypes'!$F$2)^2)</f>
        <v>9.64365076099296</v>
      </c>
      <c r="AM7" s="6" t="n">
        <f aca="false">SQRT((H7-'MLB Archetypes'!$C$3)^2+(I7-'MLB Archetypes'!$D$3)^2+(J7-'MLB Archetypes'!$E$3)^2+(K7-'MLB Archetypes'!$F$3)^2)</f>
        <v>8.60232526704263</v>
      </c>
      <c r="AN7" s="6" t="n">
        <f aca="false">SQRT((H7-'MLB Archetypes'!$C$4)^2+(I7-'MLB Archetypes'!$D$4)^2+(J7-'MLB Archetypes'!$E$4)^2+(K7-'MLB Archetypes'!$F$4)^2)</f>
        <v>7.34846922834953</v>
      </c>
      <c r="AO7" s="6" t="n">
        <f aca="false">SQRT((H7-'MLB Archetypes'!$C$5)^2+(I7-'MLB Archetypes'!$D$5)^2+(J7-'MLB Archetypes'!$E$5)^2+(K7-'MLB Archetypes'!$F$5)^2)</f>
        <v>7.14142842854285</v>
      </c>
      <c r="AP7" s="6" t="n">
        <f aca="false">SQRT((H7-'MLB Archetypes'!$C$6)^2+(I7-'MLB Archetypes'!$D$6)^2+(J7-'MLB Archetypes'!$E$6)^2+(K7-'MLB Archetypes'!$F$6)^2)</f>
        <v>4.35889894354067</v>
      </c>
      <c r="AQ7" s="6" t="n">
        <f aca="false">SQRT((H7-'MLB Archetypes'!$C$7)^2+(I7-'MLB Archetypes'!$D$7)^2+(J7-'MLB Archetypes'!$E$7)^2+(K7-'MLB Archetypes'!$F$7)^2)</f>
        <v>7.87400787401181</v>
      </c>
      <c r="AR7" s="6" t="n">
        <f aca="false">SQRT((H7-'MLB Archetypes'!$C$8)^2+(I7-'MLB Archetypes'!$D$8)^2+(J7-'MLB Archetypes'!$E$8)^2+(K7-'MLB Archetypes'!$F$8)^2)</f>
        <v>8.12403840463596</v>
      </c>
      <c r="AS7" s="6" t="n">
        <f aca="false">SQRT((H7-'MLB Archetypes'!$C$9)^2+(I7-'MLB Archetypes'!$D$9)^2+(J7-'MLB Archetypes'!$E$9)^2+(K7-'MLB Archetypes'!$F$9)^2)</f>
        <v>7.21110255092798</v>
      </c>
      <c r="AT7" s="6" t="n">
        <f aca="false">SQRT((H7-'MLB Archetypes'!$C$10)^2+(I7-'MLB Archetypes'!$D$10)^2+(J7-'MLB Archetypes'!$E$10)^2+(K7-'MLB Archetypes'!$F$10)^2)</f>
        <v>6.2449979983984</v>
      </c>
      <c r="AU7" s="6" t="n">
        <f aca="false">SQRT((H7-'MLB Archetypes'!$C$11)^2+(I7-'MLB Archetypes'!$D$11)^2+(J7-'MLB Archetypes'!$E$11)^2+(K7-'MLB Archetypes'!$F$11)^2)</f>
        <v>4.47213595499958</v>
      </c>
      <c r="AV7" s="6" t="n">
        <f aca="false">SQRT((H7-'MLB Archetypes'!$C$12)^2+(I7-'MLB Archetypes'!$D$12)^2+(J7-'MLB Archetypes'!$E$12)^2+(K7-'MLB Archetypes'!$F$12)^2)</f>
        <v>11.0905365064094</v>
      </c>
      <c r="AW7" s="6" t="n">
        <f aca="false">SQRT((H7-'MLB Archetypes'!$C$13)^2+(I7-'MLB Archetypes'!$D$13)^2+(J7-'MLB Archetypes'!$E$13)^2+(K7-'MLB Archetypes'!$F$13)^2)</f>
        <v>5.8309518948453</v>
      </c>
      <c r="AX7" s="6" t="n">
        <f aca="false">SQRT((H7-'MLB Archetypes'!$C$14)^2+(I7-'MLB Archetypes'!$D$14)^2+(J7-'MLB Archetypes'!$E$14)^2+(K7-'MLB Archetypes'!$F$14)^2)</f>
        <v>4.79583152331272</v>
      </c>
      <c r="AY7" s="6" t="n">
        <f aca="false">SQRT((H7-'MLB Archetypes'!$C$15)^2+(I7-'MLB Archetypes'!$D$15)^2+(J7-'MLB Archetypes'!$E$15)^2+(K7-'MLB Archetypes'!$F$15)^2)</f>
        <v>8.83176086632785</v>
      </c>
      <c r="AZ7" s="6" t="n">
        <f aca="false">SQRT((H7-'MLB Archetypes'!$C$16)^2+(I7-'MLB Archetypes'!$D$16)^2+(J7-'MLB Archetypes'!$E$16)^2+(K7-'MLB Archetypes'!$F$16)^2)</f>
        <v>8.60232526704263</v>
      </c>
      <c r="BA7" s="6" t="n">
        <f aca="false">SQRT((H7-'MLB Archetypes'!$C$17)^2+(I7-'MLB Archetypes'!$D$17)^2+(J7-'MLB Archetypes'!$E$17)^2+(K7-'MLB Archetypes'!$F$17)^2)</f>
        <v>8.36660026534076</v>
      </c>
      <c r="BB7" s="6" t="n">
        <f aca="false">SQRT((H7-'MLB Archetypes'!$C$18)^2+(I7-'MLB Archetypes'!$D$18)^2+(J7-'MLB Archetypes'!$E$18)^2+(K7-'MLB Archetypes'!$F$18)^2)</f>
        <v>4.79583152331272</v>
      </c>
      <c r="BC7" s="6" t="n">
        <f aca="false">SQRT((H7-'MLB Archetypes'!$C$19)^2+(I7-'MLB Archetypes'!$D$19)^2+(J7-'MLB Archetypes'!$E$19)^2+(K7-'MLB Archetypes'!$F$19)^2)</f>
        <v>7.21110255092798</v>
      </c>
      <c r="BD7" s="4" t="str">
        <f aca="false">INDEX('MLB Archetypes'!$B$2:$B$19,MATCH(MIN(AL7:BC7),AL7:BC7,0))</f>
        <v>Albert Pujols</v>
      </c>
      <c r="BE7" s="7" t="n">
        <f aca="false">ROUND(10-MIN(AL7:BC7)/1.8,1)</f>
        <v>7.6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s">
        <v>64</v>
      </c>
      <c r="D8" s="2" t="s">
        <v>50</v>
      </c>
      <c r="E8" s="2" t="s">
        <v>51</v>
      </c>
      <c r="F8" s="2" t="s">
        <v>52</v>
      </c>
      <c r="G8" s="2" t="s">
        <v>57</v>
      </c>
      <c r="H8" s="3" t="n">
        <v>6</v>
      </c>
      <c r="I8" s="3" t="n">
        <v>6</v>
      </c>
      <c r="J8" s="3" t="n">
        <v>7</v>
      </c>
      <c r="K8" s="3" t="n">
        <v>7</v>
      </c>
      <c r="L8" s="4" t="n">
        <f aca="false">H8+I8+J8+K8</f>
        <v>26</v>
      </c>
      <c r="M8" s="4" t="n">
        <f aca="false">ROUND(0.75*I8+0.25*K8,2)</f>
        <v>6.25</v>
      </c>
      <c r="N8" s="4" t="n">
        <f aca="false">ROUND(0.7*J8+0.3*K8,2)</f>
        <v>7</v>
      </c>
      <c r="O8" s="4" t="n">
        <f aca="false">ROUND((H8+J8+K8)/3,2)</f>
        <v>6.67</v>
      </c>
      <c r="P8" s="4" t="n">
        <f aca="false">ROUND(0.85*H8+0.15*J8,2)</f>
        <v>6.15</v>
      </c>
      <c r="Q8" s="4" t="n">
        <f aca="false">ROUND(0.6*J8+0.3*I8+0.1*H8,2)</f>
        <v>6.6</v>
      </c>
      <c r="R8" s="4" t="n">
        <f aca="false">ROUND(0.7*I8+0.2*J8+0.1*K8,2)</f>
        <v>6.3</v>
      </c>
      <c r="S8" s="4" t="n">
        <f aca="false">ROUND(0.13*I8+0.35*J8+0.52*K8,2)</f>
        <v>6.87</v>
      </c>
      <c r="T8" s="4" t="n">
        <f aca="false">ROUND(0.4*I8+0.5*J8+0.1*K8,2)</f>
        <v>6.6</v>
      </c>
      <c r="U8" s="4" t="n">
        <f aca="false">ROUND(0.1*I8+0.55*J8+0.35*K8,2)</f>
        <v>6.9</v>
      </c>
      <c r="V8" s="4" t="n">
        <f aca="false">ROUND(0.6*I8+0.1*J8+0.3*K8,2)</f>
        <v>6.4</v>
      </c>
      <c r="W8" s="4" t="n">
        <f aca="false">ROUND(0.15*I8+0.3*J8+0.55*K8,2)</f>
        <v>6.85</v>
      </c>
      <c r="X8" s="4" t="n">
        <f aca="false">ROUND(0.46*I8+0.46*J8+0.08*K8,2)</f>
        <v>6.54</v>
      </c>
      <c r="Y8" s="4" t="str">
        <f aca="false">IF(H8=MAX(H8:K8),"Pitcher (arm-first)",IF(I8=MAX(H8:K8),"Bat-first (corner/1B/DH)",IF(J8=MAX(H8:K8),"Defense-first (up-the-middle)","Speed-first (CF/leadoff)")))</f>
        <v>Defense-first (up-the-middle)</v>
      </c>
      <c r="Z8" s="5" t="n">
        <f aca="false">P8</f>
        <v>6.15</v>
      </c>
      <c r="AA8" s="5" t="n">
        <f aca="false">IF(F8="Right",Q8,-1)</f>
        <v>6.6</v>
      </c>
      <c r="AB8" s="5" t="n">
        <f aca="false">R8</f>
        <v>6.3</v>
      </c>
      <c r="AC8" s="5" t="n">
        <f aca="false">IF(F8="Right",S8,-1)</f>
        <v>6.87</v>
      </c>
      <c r="AD8" s="5" t="n">
        <f aca="false">IF(F8="Right",T8,-1)</f>
        <v>6.6</v>
      </c>
      <c r="AE8" s="5" t="n">
        <f aca="false">IF(F8="Right",U8,-1)</f>
        <v>6.9</v>
      </c>
      <c r="AF8" s="5" t="n">
        <f aca="false">V8</f>
        <v>6.4</v>
      </c>
      <c r="AG8" s="5" t="n">
        <f aca="false">W8</f>
        <v>6.85</v>
      </c>
      <c r="AH8" s="5" t="n">
        <f aca="false">X8</f>
        <v>6.54</v>
      </c>
      <c r="AI8" s="4" t="str">
        <f aca="false">INDEX($Z$1:$AH$1,MATCH(MAX(Z8:AH8),Z8:AH8,0))</f>
        <v>SS</v>
      </c>
      <c r="AJ8" s="4" t="n">
        <f aca="false">MAX(Z8:AH8)</f>
        <v>6.9</v>
      </c>
      <c r="AK8" s="4" t="n">
        <f aca="false">SUMPRODUCT(($AI$2:$AI$73=AI8)*($AJ$2:$AJ$73&gt;AJ8))+SUMPRODUCT(($AI$2:$AI$73=AI8)*($AJ$2:$AJ$73=AJ8)*(ROW($AI$2:$AI$73)&lt;ROW(AI8)))+1</f>
        <v>2</v>
      </c>
      <c r="AL8" s="6" t="n">
        <f aca="false">SQRT((H8-'MLB Archetypes'!$C$2)^2+(I8-'MLB Archetypes'!$D$2)^2+(J8-'MLB Archetypes'!$E$2)^2+(K8-'MLB Archetypes'!$F$2)^2)</f>
        <v>7.21110255092798</v>
      </c>
      <c r="AM8" s="6" t="n">
        <f aca="false">SQRT((H8-'MLB Archetypes'!$C$3)^2+(I8-'MLB Archetypes'!$D$3)^2+(J8-'MLB Archetypes'!$E$3)^2+(K8-'MLB Archetypes'!$F$3)^2)</f>
        <v>5.91607978309962</v>
      </c>
      <c r="AN8" s="6" t="n">
        <f aca="false">SQRT((H8-'MLB Archetypes'!$C$4)^2+(I8-'MLB Archetypes'!$D$4)^2+(J8-'MLB Archetypes'!$E$4)^2+(K8-'MLB Archetypes'!$F$4)^2)</f>
        <v>6.08276253029822</v>
      </c>
      <c r="AO8" s="6" t="n">
        <f aca="false">SQRT((H8-'MLB Archetypes'!$C$5)^2+(I8-'MLB Archetypes'!$D$5)^2+(J8-'MLB Archetypes'!$E$5)^2+(K8-'MLB Archetypes'!$F$5)^2)</f>
        <v>5.09901951359278</v>
      </c>
      <c r="AP8" s="6" t="n">
        <f aca="false">SQRT((H8-'MLB Archetypes'!$C$6)^2+(I8-'MLB Archetypes'!$D$6)^2+(J8-'MLB Archetypes'!$E$6)^2+(K8-'MLB Archetypes'!$F$6)^2)</f>
        <v>6.48074069840786</v>
      </c>
      <c r="AQ8" s="6" t="n">
        <f aca="false">SQRT((H8-'MLB Archetypes'!$C$7)^2+(I8-'MLB Archetypes'!$D$7)^2+(J8-'MLB Archetypes'!$E$7)^2+(K8-'MLB Archetypes'!$F$7)^2)</f>
        <v>5.3851648071345</v>
      </c>
      <c r="AR8" s="6" t="n">
        <f aca="false">SQRT((H8-'MLB Archetypes'!$C$8)^2+(I8-'MLB Archetypes'!$D$8)^2+(J8-'MLB Archetypes'!$E$8)^2+(K8-'MLB Archetypes'!$F$8)^2)</f>
        <v>4.12310562561766</v>
      </c>
      <c r="AS8" s="6" t="n">
        <f aca="false">SQRT((H8-'MLB Archetypes'!$C$9)^2+(I8-'MLB Archetypes'!$D$9)^2+(J8-'MLB Archetypes'!$E$9)^2+(K8-'MLB Archetypes'!$F$9)^2)</f>
        <v>4.35889894354067</v>
      </c>
      <c r="AT8" s="6" t="n">
        <f aca="false">SQRT((H8-'MLB Archetypes'!$C$10)^2+(I8-'MLB Archetypes'!$D$10)^2+(J8-'MLB Archetypes'!$E$10)^2+(K8-'MLB Archetypes'!$F$10)^2)</f>
        <v>5.47722557505166</v>
      </c>
      <c r="AU8" s="6" t="n">
        <f aca="false">SQRT((H8-'MLB Archetypes'!$C$11)^2+(I8-'MLB Archetypes'!$D$11)^2+(J8-'MLB Archetypes'!$E$11)^2+(K8-'MLB Archetypes'!$F$11)^2)</f>
        <v>5.91607978309962</v>
      </c>
      <c r="AV8" s="6" t="n">
        <f aca="false">SQRT((H8-'MLB Archetypes'!$C$12)^2+(I8-'MLB Archetypes'!$D$12)^2+(J8-'MLB Archetypes'!$E$12)^2+(K8-'MLB Archetypes'!$F$12)^2)</f>
        <v>5.8309518948453</v>
      </c>
      <c r="AW8" s="6" t="n">
        <f aca="false">SQRT((H8-'MLB Archetypes'!$C$13)^2+(I8-'MLB Archetypes'!$D$13)^2+(J8-'MLB Archetypes'!$E$13)^2+(K8-'MLB Archetypes'!$F$13)^2)</f>
        <v>5.74456264653803</v>
      </c>
      <c r="AX8" s="6" t="n">
        <f aca="false">SQRT((H8-'MLB Archetypes'!$C$14)^2+(I8-'MLB Archetypes'!$D$14)^2+(J8-'MLB Archetypes'!$E$14)^2+(K8-'MLB Archetypes'!$F$14)^2)</f>
        <v>5.47722557505166</v>
      </c>
      <c r="AY8" s="6" t="n">
        <f aca="false">SQRT((H8-'MLB Archetypes'!$C$15)^2+(I8-'MLB Archetypes'!$D$15)^2+(J8-'MLB Archetypes'!$E$15)^2+(K8-'MLB Archetypes'!$F$15)^2)</f>
        <v>5.3851648071345</v>
      </c>
      <c r="AZ8" s="6" t="n">
        <f aca="false">SQRT((H8-'MLB Archetypes'!$C$16)^2+(I8-'MLB Archetypes'!$D$16)^2+(J8-'MLB Archetypes'!$E$16)^2+(K8-'MLB Archetypes'!$F$16)^2)</f>
        <v>5</v>
      </c>
      <c r="BA8" s="6" t="n">
        <f aca="false">SQRT((H8-'MLB Archetypes'!$C$17)^2+(I8-'MLB Archetypes'!$D$17)^2+(J8-'MLB Archetypes'!$E$17)^2+(K8-'MLB Archetypes'!$F$17)^2)</f>
        <v>4.58257569495584</v>
      </c>
      <c r="BB8" s="6" t="n">
        <f aca="false">SQRT((H8-'MLB Archetypes'!$C$18)^2+(I8-'MLB Archetypes'!$D$18)^2+(J8-'MLB Archetypes'!$E$18)^2+(K8-'MLB Archetypes'!$F$18)^2)</f>
        <v>5.47722557505166</v>
      </c>
      <c r="BC8" s="6" t="n">
        <f aca="false">SQRT((H8-'MLB Archetypes'!$C$19)^2+(I8-'MLB Archetypes'!$D$19)^2+(J8-'MLB Archetypes'!$E$19)^2+(K8-'MLB Archetypes'!$F$19)^2)</f>
        <v>4.35889894354067</v>
      </c>
      <c r="BD8" s="4" t="str">
        <f aca="false">INDEX('MLB Archetypes'!$B$2:$B$19,MATCH(MIN(AL8:BC8),AL8:BC8,0))</f>
        <v>Jackie Robinson</v>
      </c>
      <c r="BE8" s="7" t="n">
        <f aca="false">ROUND(10-MIN(AL8:BC8)/1.8,1)</f>
        <v>7.7</v>
      </c>
    </row>
    <row r="9" customFormat="false" ht="15" hidden="false" customHeight="false" outlineLevel="0" collapsed="false">
      <c r="A9" s="2" t="s">
        <v>66</v>
      </c>
      <c r="B9" s="2" t="s">
        <v>67</v>
      </c>
      <c r="C9" s="2" t="s">
        <v>66</v>
      </c>
      <c r="D9" s="2" t="s">
        <v>50</v>
      </c>
      <c r="E9" s="2" t="s">
        <v>51</v>
      </c>
      <c r="F9" s="2" t="s">
        <v>52</v>
      </c>
      <c r="G9" s="2" t="s">
        <v>57</v>
      </c>
      <c r="H9" s="3" t="n">
        <v>7</v>
      </c>
      <c r="I9" s="3" t="n">
        <v>6</v>
      </c>
      <c r="J9" s="3" t="n">
        <v>8</v>
      </c>
      <c r="K9" s="3" t="n">
        <v>5</v>
      </c>
      <c r="L9" s="4" t="n">
        <f aca="false">H9+I9+J9+K9</f>
        <v>26</v>
      </c>
      <c r="M9" s="4" t="n">
        <f aca="false">ROUND(0.75*I9+0.25*K9,2)</f>
        <v>5.75</v>
      </c>
      <c r="N9" s="4" t="n">
        <f aca="false">ROUND(0.7*J9+0.3*K9,2)</f>
        <v>7.1</v>
      </c>
      <c r="O9" s="4" t="n">
        <f aca="false">ROUND((H9+J9+K9)/3,2)</f>
        <v>6.67</v>
      </c>
      <c r="P9" s="4" t="n">
        <f aca="false">ROUND(0.85*H9+0.15*J9,2)</f>
        <v>7.15</v>
      </c>
      <c r="Q9" s="4" t="n">
        <f aca="false">ROUND(0.6*J9+0.3*I9+0.1*H9,2)</f>
        <v>7.3</v>
      </c>
      <c r="R9" s="4" t="n">
        <f aca="false">ROUND(0.7*I9+0.2*J9+0.1*K9,2)</f>
        <v>6.3</v>
      </c>
      <c r="S9" s="4" t="n">
        <f aca="false">ROUND(0.13*I9+0.35*J9+0.52*K9,2)</f>
        <v>6.18</v>
      </c>
      <c r="T9" s="4" t="n">
        <f aca="false">ROUND(0.4*I9+0.5*J9+0.1*K9,2)</f>
        <v>6.9</v>
      </c>
      <c r="U9" s="4" t="n">
        <f aca="false">ROUND(0.1*I9+0.55*J9+0.35*K9,2)</f>
        <v>6.75</v>
      </c>
      <c r="V9" s="4" t="n">
        <f aca="false">ROUND(0.6*I9+0.1*J9+0.3*K9,2)</f>
        <v>5.9</v>
      </c>
      <c r="W9" s="4" t="n">
        <f aca="false">ROUND(0.15*I9+0.3*J9+0.55*K9,2)</f>
        <v>6.05</v>
      </c>
      <c r="X9" s="4" t="n">
        <f aca="false">ROUND(0.46*I9+0.46*J9+0.08*K9,2)</f>
        <v>6.84</v>
      </c>
      <c r="Y9" s="4" t="str">
        <f aca="false">IF(H9=MAX(H9:K9),"Pitcher (arm-first)",IF(I9=MAX(H9:K9),"Bat-first (corner/1B/DH)",IF(J9=MAX(H9:K9),"Defense-first (up-the-middle)","Speed-first (CF/leadoff)")))</f>
        <v>Defense-first (up-the-middle)</v>
      </c>
      <c r="Z9" s="5" t="n">
        <f aca="false">P9</f>
        <v>7.15</v>
      </c>
      <c r="AA9" s="5" t="n">
        <f aca="false">IF(F9="Right",Q9,-1)</f>
        <v>7.3</v>
      </c>
      <c r="AB9" s="5" t="n">
        <f aca="false">R9</f>
        <v>6.3</v>
      </c>
      <c r="AC9" s="5" t="n">
        <f aca="false">IF(F9="Right",S9,-1)</f>
        <v>6.18</v>
      </c>
      <c r="AD9" s="5" t="n">
        <f aca="false">IF(F9="Right",T9,-1)</f>
        <v>6.9</v>
      </c>
      <c r="AE9" s="5" t="n">
        <f aca="false">IF(F9="Right",U9,-1)</f>
        <v>6.75</v>
      </c>
      <c r="AF9" s="5" t="n">
        <f aca="false">V9</f>
        <v>5.9</v>
      </c>
      <c r="AG9" s="5" t="n">
        <f aca="false">W9</f>
        <v>6.05</v>
      </c>
      <c r="AH9" s="5" t="n">
        <f aca="false">X9</f>
        <v>6.84</v>
      </c>
      <c r="AI9" s="4" t="str">
        <f aca="false">INDEX($Z$1:$AH$1,MATCH(MAX(Z9:AH9),Z9:AH9,0))</f>
        <v>C</v>
      </c>
      <c r="AJ9" s="4" t="n">
        <f aca="false">MAX(Z9:AH9)</f>
        <v>7.3</v>
      </c>
      <c r="AK9" s="4" t="n">
        <f aca="false">SUMPRODUCT(($AI$2:$AI$73=AI9)*($AJ$2:$AJ$73&gt;AJ9))+SUMPRODUCT(($AI$2:$AI$73=AI9)*($AJ$2:$AJ$73=AJ9)*(ROW($AI$2:$AI$73)&lt;ROW(AI9)))+1</f>
        <v>1</v>
      </c>
      <c r="AL9" s="6" t="n">
        <f aca="false">SQRT((H9-'MLB Archetypes'!$C$2)^2+(I9-'MLB Archetypes'!$D$2)^2+(J9-'MLB Archetypes'!$E$2)^2+(K9-'MLB Archetypes'!$F$2)^2)</f>
        <v>6.16441400296898</v>
      </c>
      <c r="AM9" s="6" t="n">
        <f aca="false">SQRT((H9-'MLB Archetypes'!$C$3)^2+(I9-'MLB Archetypes'!$D$3)^2+(J9-'MLB Archetypes'!$E$3)^2+(K9-'MLB Archetypes'!$F$3)^2)</f>
        <v>4.58257569495584</v>
      </c>
      <c r="AN9" s="6" t="n">
        <f aca="false">SQRT((H9-'MLB Archetypes'!$C$4)^2+(I9-'MLB Archetypes'!$D$4)^2+(J9-'MLB Archetypes'!$E$4)^2+(K9-'MLB Archetypes'!$F$4)^2)</f>
        <v>5.56776436283002</v>
      </c>
      <c r="AO9" s="6" t="n">
        <f aca="false">SQRT((H9-'MLB Archetypes'!$C$5)^2+(I9-'MLB Archetypes'!$D$5)^2+(J9-'MLB Archetypes'!$E$5)^2+(K9-'MLB Archetypes'!$F$5)^2)</f>
        <v>5.09901951359278</v>
      </c>
      <c r="AP9" s="6" t="n">
        <f aca="false">SQRT((H9-'MLB Archetypes'!$C$6)^2+(I9-'MLB Archetypes'!$D$6)^2+(J9-'MLB Archetypes'!$E$6)^2+(K9-'MLB Archetypes'!$F$6)^2)</f>
        <v>6.48074069840786</v>
      </c>
      <c r="AQ9" s="6" t="n">
        <f aca="false">SQRT((H9-'MLB Archetypes'!$C$7)^2+(I9-'MLB Archetypes'!$D$7)^2+(J9-'MLB Archetypes'!$E$7)^2+(K9-'MLB Archetypes'!$F$7)^2)</f>
        <v>5.19615242270663</v>
      </c>
      <c r="AR9" s="6" t="n">
        <f aca="false">SQRT((H9-'MLB Archetypes'!$C$8)^2+(I9-'MLB Archetypes'!$D$8)^2+(J9-'MLB Archetypes'!$E$8)^2+(K9-'MLB Archetypes'!$F$8)^2)</f>
        <v>5.91607978309962</v>
      </c>
      <c r="AS9" s="6" t="n">
        <f aca="false">SQRT((H9-'MLB Archetypes'!$C$9)^2+(I9-'MLB Archetypes'!$D$9)^2+(J9-'MLB Archetypes'!$E$9)^2+(K9-'MLB Archetypes'!$F$9)^2)</f>
        <v>5.19615242270663</v>
      </c>
      <c r="AT9" s="6" t="n">
        <f aca="false">SQRT((H9-'MLB Archetypes'!$C$10)^2+(I9-'MLB Archetypes'!$D$10)^2+(J9-'MLB Archetypes'!$E$10)^2+(K9-'MLB Archetypes'!$F$10)^2)</f>
        <v>5.47722557505166</v>
      </c>
      <c r="AU9" s="6" t="n">
        <f aca="false">SQRT((H9-'MLB Archetypes'!$C$11)^2+(I9-'MLB Archetypes'!$D$11)^2+(J9-'MLB Archetypes'!$E$11)^2+(K9-'MLB Archetypes'!$F$11)^2)</f>
        <v>6.2449979983984</v>
      </c>
      <c r="AV9" s="6" t="n">
        <f aca="false">SQRT((H9-'MLB Archetypes'!$C$12)^2+(I9-'MLB Archetypes'!$D$12)^2+(J9-'MLB Archetypes'!$E$12)^2+(K9-'MLB Archetypes'!$F$12)^2)</f>
        <v>6.48074069840786</v>
      </c>
      <c r="AW9" s="6" t="n">
        <f aca="false">SQRT((H9-'MLB Archetypes'!$C$13)^2+(I9-'MLB Archetypes'!$D$13)^2+(J9-'MLB Archetypes'!$E$13)^2+(K9-'MLB Archetypes'!$F$13)^2)</f>
        <v>5.56776436283002</v>
      </c>
      <c r="AX9" s="6" t="n">
        <f aca="false">SQRT((H9-'MLB Archetypes'!$C$14)^2+(I9-'MLB Archetypes'!$D$14)^2+(J9-'MLB Archetypes'!$E$14)^2+(K9-'MLB Archetypes'!$F$14)^2)</f>
        <v>6.16441400296898</v>
      </c>
      <c r="AY9" s="6" t="n">
        <f aca="false">SQRT((H9-'MLB Archetypes'!$C$15)^2+(I9-'MLB Archetypes'!$D$15)^2+(J9-'MLB Archetypes'!$E$15)^2+(K9-'MLB Archetypes'!$F$15)^2)</f>
        <v>7.68114574786861</v>
      </c>
      <c r="AZ9" s="6" t="n">
        <f aca="false">SQRT((H9-'MLB Archetypes'!$C$16)^2+(I9-'MLB Archetypes'!$D$16)^2+(J9-'MLB Archetypes'!$E$16)^2+(K9-'MLB Archetypes'!$F$16)^2)</f>
        <v>6.2449979983984</v>
      </c>
      <c r="BA9" s="6" t="n">
        <f aca="false">SQRT((H9-'MLB Archetypes'!$C$17)^2+(I9-'MLB Archetypes'!$D$17)^2+(J9-'MLB Archetypes'!$E$17)^2+(K9-'MLB Archetypes'!$F$17)^2)</f>
        <v>6.557438524302</v>
      </c>
      <c r="BB9" s="6" t="n">
        <f aca="false">SQRT((H9-'MLB Archetypes'!$C$18)^2+(I9-'MLB Archetypes'!$D$18)^2+(J9-'MLB Archetypes'!$E$18)^2+(K9-'MLB Archetypes'!$F$18)^2)</f>
        <v>6.16441400296898</v>
      </c>
      <c r="BC9" s="6" t="n">
        <f aca="false">SQRT((H9-'MLB Archetypes'!$C$19)^2+(I9-'MLB Archetypes'!$D$19)^2+(J9-'MLB Archetypes'!$E$19)^2+(K9-'MLB Archetypes'!$F$19)^2)</f>
        <v>5.19615242270663</v>
      </c>
      <c r="BD9" s="4" t="str">
        <f aca="false">INDEX('MLB Archetypes'!$B$2:$B$19,MATCH(MIN(AL9:BC9),AL9:BC9,0))</f>
        <v>Greg Maddux</v>
      </c>
      <c r="BE9" s="7" t="n">
        <f aca="false">ROUND(10-MIN(AL9:BC9)/1.8,1)</f>
        <v>7.5</v>
      </c>
    </row>
    <row r="10" customFormat="false" ht="15" hidden="false" customHeight="false" outlineLevel="0" collapsed="false">
      <c r="A10" s="2" t="s">
        <v>68</v>
      </c>
      <c r="B10" s="2" t="s">
        <v>69</v>
      </c>
      <c r="C10" s="2" t="s">
        <v>68</v>
      </c>
      <c r="D10" s="2" t="s">
        <v>50</v>
      </c>
      <c r="E10" s="2" t="s">
        <v>51</v>
      </c>
      <c r="F10" s="2" t="s">
        <v>52</v>
      </c>
      <c r="G10" s="2" t="s">
        <v>52</v>
      </c>
      <c r="H10" s="3" t="n">
        <v>4</v>
      </c>
      <c r="I10" s="3" t="n">
        <v>8</v>
      </c>
      <c r="J10" s="3" t="n">
        <v>7</v>
      </c>
      <c r="K10" s="3" t="n">
        <v>5</v>
      </c>
      <c r="L10" s="4" t="n">
        <f aca="false">H10+I10+J10+K10</f>
        <v>24</v>
      </c>
      <c r="M10" s="4" t="n">
        <f aca="false">ROUND(0.75*I10+0.25*K10,2)</f>
        <v>7.25</v>
      </c>
      <c r="N10" s="4" t="n">
        <f aca="false">ROUND(0.7*J10+0.3*K10,2)</f>
        <v>6.4</v>
      </c>
      <c r="O10" s="4" t="n">
        <f aca="false">ROUND((H10+J10+K10)/3,2)</f>
        <v>5.33</v>
      </c>
      <c r="P10" s="4" t="n">
        <f aca="false">ROUND(0.85*H10+0.15*J10,2)</f>
        <v>4.45</v>
      </c>
      <c r="Q10" s="4" t="n">
        <f aca="false">ROUND(0.6*J10+0.3*I10+0.1*H10,2)</f>
        <v>7</v>
      </c>
      <c r="R10" s="4" t="n">
        <f aca="false">ROUND(0.7*I10+0.2*J10+0.1*K10,2)</f>
        <v>7.5</v>
      </c>
      <c r="S10" s="4" t="n">
        <f aca="false">ROUND(0.13*I10+0.35*J10+0.52*K10,2)</f>
        <v>6.09</v>
      </c>
      <c r="T10" s="4" t="n">
        <f aca="false">ROUND(0.4*I10+0.5*J10+0.1*K10,2)</f>
        <v>7.2</v>
      </c>
      <c r="U10" s="4" t="n">
        <f aca="false">ROUND(0.1*I10+0.55*J10+0.35*K10,2)</f>
        <v>6.4</v>
      </c>
      <c r="V10" s="4" t="n">
        <f aca="false">ROUND(0.6*I10+0.1*J10+0.3*K10,2)</f>
        <v>7</v>
      </c>
      <c r="W10" s="4" t="n">
        <f aca="false">ROUND(0.15*I10+0.3*J10+0.55*K10,2)</f>
        <v>6.05</v>
      </c>
      <c r="X10" s="4" t="n">
        <f aca="false">ROUND(0.46*I10+0.46*J10+0.08*K10,2)</f>
        <v>7.3</v>
      </c>
      <c r="Y10" s="4" t="str">
        <f aca="false">IF(H10=MAX(H10:K10),"Pitcher (arm-first)",IF(I10=MAX(H10:K10),"Bat-first (corner/1B/DH)",IF(J10=MAX(H10:K10),"Defense-first (up-the-middle)","Speed-first (CF/leadoff)")))</f>
        <v>Bat-first (corner/1B/DH)</v>
      </c>
      <c r="Z10" s="5" t="n">
        <f aca="false">P10</f>
        <v>4.45</v>
      </c>
      <c r="AA10" s="5" t="n">
        <f aca="false">IF(F10="Right",Q10,-1)</f>
        <v>7</v>
      </c>
      <c r="AB10" s="5" t="n">
        <f aca="false">R10</f>
        <v>7.5</v>
      </c>
      <c r="AC10" s="5" t="n">
        <f aca="false">IF(F10="Right",S10,-1)</f>
        <v>6.09</v>
      </c>
      <c r="AD10" s="5" t="n">
        <f aca="false">IF(F10="Right",T10,-1)</f>
        <v>7.2</v>
      </c>
      <c r="AE10" s="5" t="n">
        <f aca="false">IF(F10="Right",U10,-1)</f>
        <v>6.4</v>
      </c>
      <c r="AF10" s="5" t="n">
        <f aca="false">V10</f>
        <v>7</v>
      </c>
      <c r="AG10" s="5" t="n">
        <f aca="false">W10</f>
        <v>6.05</v>
      </c>
      <c r="AH10" s="5" t="n">
        <f aca="false">X10</f>
        <v>7.3</v>
      </c>
      <c r="AI10" s="4" t="str">
        <f aca="false">INDEX($Z$1:$AH$1,MATCH(MAX(Z10:AH10),Z10:AH10,0))</f>
        <v>1B</v>
      </c>
      <c r="AJ10" s="4" t="n">
        <f aca="false">MAX(Z10:AH10)</f>
        <v>7.5</v>
      </c>
      <c r="AK10" s="4" t="n">
        <f aca="false">SUMPRODUCT(($AI$2:$AI$73=AI10)*($AJ$2:$AJ$73&gt;AJ10))+SUMPRODUCT(($AI$2:$AI$73=AI10)*($AJ$2:$AJ$73=AJ10)*(ROW($AI$2:$AI$73)&lt;ROW(AI10)))+1</f>
        <v>3</v>
      </c>
      <c r="AL10" s="6" t="n">
        <f aca="false">SQRT((H10-'MLB Archetypes'!$C$2)^2+(I10-'MLB Archetypes'!$D$2)^2+(J10-'MLB Archetypes'!$E$2)^2+(K10-'MLB Archetypes'!$F$2)^2)</f>
        <v>8.94427190999916</v>
      </c>
      <c r="AM10" s="6" t="n">
        <f aca="false">SQRT((H10-'MLB Archetypes'!$C$3)^2+(I10-'MLB Archetypes'!$D$3)^2+(J10-'MLB Archetypes'!$E$3)^2+(K10-'MLB Archetypes'!$F$3)^2)</f>
        <v>7.41619848709566</v>
      </c>
      <c r="AN10" s="6" t="n">
        <f aca="false">SQRT((H10-'MLB Archetypes'!$C$4)^2+(I10-'MLB Archetypes'!$D$4)^2+(J10-'MLB Archetypes'!$E$4)^2+(K10-'MLB Archetypes'!$F$4)^2)</f>
        <v>3.60555127546399</v>
      </c>
      <c r="AO10" s="6" t="n">
        <f aca="false">SQRT((H10-'MLB Archetypes'!$C$5)^2+(I10-'MLB Archetypes'!$D$5)^2+(J10-'MLB Archetypes'!$E$5)^2+(K10-'MLB Archetypes'!$F$5)^2)</f>
        <v>3.16227766016838</v>
      </c>
      <c r="AP10" s="6" t="n">
        <f aca="false">SQRT((H10-'MLB Archetypes'!$C$6)^2+(I10-'MLB Archetypes'!$D$6)^2+(J10-'MLB Archetypes'!$E$6)^2+(K10-'MLB Archetypes'!$F$6)^2)</f>
        <v>3.16227766016838</v>
      </c>
      <c r="AQ10" s="6" t="n">
        <f aca="false">SQRT((H10-'MLB Archetypes'!$C$7)^2+(I10-'MLB Archetypes'!$D$7)^2+(J10-'MLB Archetypes'!$E$7)^2+(K10-'MLB Archetypes'!$F$7)^2)</f>
        <v>3.60555127546399</v>
      </c>
      <c r="AR10" s="6" t="n">
        <f aca="false">SQRT((H10-'MLB Archetypes'!$C$8)^2+(I10-'MLB Archetypes'!$D$8)^2+(J10-'MLB Archetypes'!$E$8)^2+(K10-'MLB Archetypes'!$F$8)^2)</f>
        <v>4.12310562561766</v>
      </c>
      <c r="AS10" s="6" t="n">
        <f aca="false">SQRT((H10-'MLB Archetypes'!$C$9)^2+(I10-'MLB Archetypes'!$D$9)^2+(J10-'MLB Archetypes'!$E$9)^2+(K10-'MLB Archetypes'!$F$9)^2)</f>
        <v>2.64575131106459</v>
      </c>
      <c r="AT10" s="6" t="n">
        <f aca="false">SQRT((H10-'MLB Archetypes'!$C$10)^2+(I10-'MLB Archetypes'!$D$10)^2+(J10-'MLB Archetypes'!$E$10)^2+(K10-'MLB Archetypes'!$F$10)^2)</f>
        <v>2.44948974278318</v>
      </c>
      <c r="AU10" s="6" t="n">
        <f aca="false">SQRT((H10-'MLB Archetypes'!$C$11)^2+(I10-'MLB Archetypes'!$D$11)^2+(J10-'MLB Archetypes'!$E$11)^2+(K10-'MLB Archetypes'!$F$11)^2)</f>
        <v>2.64575131106459</v>
      </c>
      <c r="AV10" s="6" t="n">
        <f aca="false">SQRT((H10-'MLB Archetypes'!$C$12)^2+(I10-'MLB Archetypes'!$D$12)^2+(J10-'MLB Archetypes'!$E$12)^2+(K10-'MLB Archetypes'!$F$12)^2)</f>
        <v>6.48074069840786</v>
      </c>
      <c r="AW10" s="6" t="n">
        <f aca="false">SQRT((H10-'MLB Archetypes'!$C$13)^2+(I10-'MLB Archetypes'!$D$13)^2+(J10-'MLB Archetypes'!$E$13)^2+(K10-'MLB Archetypes'!$F$13)^2)</f>
        <v>3</v>
      </c>
      <c r="AX10" s="6" t="n">
        <f aca="false">SQRT((H10-'MLB Archetypes'!$C$14)^2+(I10-'MLB Archetypes'!$D$14)^2+(J10-'MLB Archetypes'!$E$14)^2+(K10-'MLB Archetypes'!$F$14)^2)</f>
        <v>2.44948974278318</v>
      </c>
      <c r="AY10" s="6" t="n">
        <f aca="false">SQRT((H10-'MLB Archetypes'!$C$15)^2+(I10-'MLB Archetypes'!$D$15)^2+(J10-'MLB Archetypes'!$E$15)^2+(K10-'MLB Archetypes'!$F$15)^2)</f>
        <v>6.08276253029822</v>
      </c>
      <c r="AZ10" s="6" t="n">
        <f aca="false">SQRT((H10-'MLB Archetypes'!$C$16)^2+(I10-'MLB Archetypes'!$D$16)^2+(J10-'MLB Archetypes'!$E$16)^2+(K10-'MLB Archetypes'!$F$16)^2)</f>
        <v>4.12310562561766</v>
      </c>
      <c r="BA10" s="6" t="n">
        <f aca="false">SQRT((H10-'MLB Archetypes'!$C$17)^2+(I10-'MLB Archetypes'!$D$17)^2+(J10-'MLB Archetypes'!$E$17)^2+(K10-'MLB Archetypes'!$F$17)^2)</f>
        <v>4.58257569495584</v>
      </c>
      <c r="BB10" s="6" t="n">
        <f aca="false">SQRT((H10-'MLB Archetypes'!$C$18)^2+(I10-'MLB Archetypes'!$D$18)^2+(J10-'MLB Archetypes'!$E$18)^2+(K10-'MLB Archetypes'!$F$18)^2)</f>
        <v>2.44948974278318</v>
      </c>
      <c r="BC10" s="6" t="n">
        <f aca="false">SQRT((H10-'MLB Archetypes'!$C$19)^2+(I10-'MLB Archetypes'!$D$19)^2+(J10-'MLB Archetypes'!$E$19)^2+(K10-'MLB Archetypes'!$F$19)^2)</f>
        <v>2.64575131106459</v>
      </c>
      <c r="BD10" s="4" t="str">
        <f aca="false">INDEX('MLB Archetypes'!$B$2:$B$19,MATCH(MIN(AL10:BC10),AL10:BC10,0))</f>
        <v>Mike Schmidt</v>
      </c>
      <c r="BE10" s="7" t="n">
        <f aca="false">ROUND(10-MIN(AL10:BC10)/1.8,1)</f>
        <v>8.6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70</v>
      </c>
      <c r="D11" s="2" t="s">
        <v>50</v>
      </c>
      <c r="E11" s="2" t="s">
        <v>51</v>
      </c>
      <c r="F11" s="2" t="s">
        <v>57</v>
      </c>
      <c r="G11" s="2" t="s">
        <v>57</v>
      </c>
      <c r="H11" s="3" t="n">
        <v>8</v>
      </c>
      <c r="I11" s="3" t="n">
        <v>4</v>
      </c>
      <c r="J11" s="3" t="n">
        <v>8</v>
      </c>
      <c r="K11" s="3" t="n">
        <v>5</v>
      </c>
      <c r="L11" s="4" t="n">
        <f aca="false">H11+I11+J11+K11</f>
        <v>25</v>
      </c>
      <c r="M11" s="4" t="n">
        <f aca="false">ROUND(0.75*I11+0.25*K11,2)</f>
        <v>4.25</v>
      </c>
      <c r="N11" s="4" t="n">
        <f aca="false">ROUND(0.7*J11+0.3*K11,2)</f>
        <v>7.1</v>
      </c>
      <c r="O11" s="4" t="n">
        <f aca="false">ROUND((H11+J11+K11)/3,2)</f>
        <v>7</v>
      </c>
      <c r="P11" s="4" t="n">
        <f aca="false">ROUND(0.85*H11+0.15*J11,2)</f>
        <v>8</v>
      </c>
      <c r="Q11" s="4" t="n">
        <f aca="false">ROUND(0.6*J11+0.3*I11+0.1*H11,2)</f>
        <v>6.8</v>
      </c>
      <c r="R11" s="4" t="n">
        <f aca="false">ROUND(0.7*I11+0.2*J11+0.1*K11,2)</f>
        <v>4.9</v>
      </c>
      <c r="S11" s="4" t="n">
        <f aca="false">ROUND(0.13*I11+0.35*J11+0.52*K11,2)</f>
        <v>5.92</v>
      </c>
      <c r="T11" s="4" t="n">
        <f aca="false">ROUND(0.4*I11+0.5*J11+0.1*K11,2)</f>
        <v>6.1</v>
      </c>
      <c r="U11" s="4" t="n">
        <f aca="false">ROUND(0.1*I11+0.55*J11+0.35*K11,2)</f>
        <v>6.55</v>
      </c>
      <c r="V11" s="4" t="n">
        <f aca="false">ROUND(0.6*I11+0.1*J11+0.3*K11,2)</f>
        <v>4.7</v>
      </c>
      <c r="W11" s="4" t="n">
        <f aca="false">ROUND(0.15*I11+0.3*J11+0.55*K11,2)</f>
        <v>5.75</v>
      </c>
      <c r="X11" s="4" t="n">
        <f aca="false">ROUND(0.46*I11+0.46*J11+0.08*K11,2)</f>
        <v>5.92</v>
      </c>
      <c r="Y11" s="4" t="str">
        <f aca="false">IF(H11=MAX(H11:K11),"Pitcher (arm-first)",IF(I11=MAX(H11:K11),"Bat-first (corner/1B/DH)",IF(J11=MAX(H11:K11),"Defense-first (up-the-middle)","Speed-first (CF/leadoff)")))</f>
        <v>Pitcher (arm-first)</v>
      </c>
      <c r="Z11" s="5" t="n">
        <f aca="false">P11</f>
        <v>8</v>
      </c>
      <c r="AA11" s="5" t="n">
        <f aca="false">IF(F11="Right",Q11,-1)</f>
        <v>-1</v>
      </c>
      <c r="AB11" s="5" t="n">
        <f aca="false">R11</f>
        <v>4.9</v>
      </c>
      <c r="AC11" s="5" t="n">
        <f aca="false">IF(F11="Right",S11,-1)</f>
        <v>-1</v>
      </c>
      <c r="AD11" s="5" t="n">
        <f aca="false">IF(F11="Right",T11,-1)</f>
        <v>-1</v>
      </c>
      <c r="AE11" s="5" t="n">
        <f aca="false">IF(F11="Right",U11,-1)</f>
        <v>-1</v>
      </c>
      <c r="AF11" s="5" t="n">
        <f aca="false">V11</f>
        <v>4.7</v>
      </c>
      <c r="AG11" s="5" t="n">
        <f aca="false">W11</f>
        <v>5.75</v>
      </c>
      <c r="AH11" s="5" t="n">
        <f aca="false">X11</f>
        <v>5.92</v>
      </c>
      <c r="AI11" s="4" t="str">
        <f aca="false">INDEX($Z$1:$AH$1,MATCH(MAX(Z11:AH11),Z11:AH11,0))</f>
        <v>P</v>
      </c>
      <c r="AJ11" s="4" t="n">
        <f aca="false">MAX(Z11:AH11)</f>
        <v>8</v>
      </c>
      <c r="AK11" s="4" t="n">
        <f aca="false">SUMPRODUCT(($AI$2:$AI$73=AI11)*($AJ$2:$AJ$73&gt;AJ11))+SUMPRODUCT(($AI$2:$AI$73=AI11)*($AJ$2:$AJ$73=AJ11)*(ROW($AI$2:$AI$73)&lt;ROW(AI11)))+1</f>
        <v>3</v>
      </c>
      <c r="AL11" s="6" t="n">
        <f aca="false">SQRT((H11-'MLB Archetypes'!$C$2)^2+(I11-'MLB Archetypes'!$D$2)^2+(J11-'MLB Archetypes'!$E$2)^2+(K11-'MLB Archetypes'!$F$2)^2)</f>
        <v>4.58257569495584</v>
      </c>
      <c r="AM11" s="6" t="n">
        <f aca="false">SQRT((H11-'MLB Archetypes'!$C$3)^2+(I11-'MLB Archetypes'!$D$3)^2+(J11-'MLB Archetypes'!$E$3)^2+(K11-'MLB Archetypes'!$F$3)^2)</f>
        <v>3.16227766016838</v>
      </c>
      <c r="AN11" s="6" t="n">
        <f aca="false">SQRT((H11-'MLB Archetypes'!$C$4)^2+(I11-'MLB Archetypes'!$D$4)^2+(J11-'MLB Archetypes'!$E$4)^2+(K11-'MLB Archetypes'!$F$4)^2)</f>
        <v>7.07106781186548</v>
      </c>
      <c r="AO11" s="6" t="n">
        <f aca="false">SQRT((H11-'MLB Archetypes'!$C$5)^2+(I11-'MLB Archetypes'!$D$5)^2+(J11-'MLB Archetypes'!$E$5)^2+(K11-'MLB Archetypes'!$F$5)^2)</f>
        <v>6.40312423743285</v>
      </c>
      <c r="AP11" s="6" t="n">
        <f aca="false">SQRT((H11-'MLB Archetypes'!$C$6)^2+(I11-'MLB Archetypes'!$D$6)^2+(J11-'MLB Archetypes'!$E$6)^2+(K11-'MLB Archetypes'!$F$6)^2)</f>
        <v>8.30662386291808</v>
      </c>
      <c r="AQ11" s="6" t="n">
        <f aca="false">SQRT((H11-'MLB Archetypes'!$C$7)^2+(I11-'MLB Archetypes'!$D$7)^2+(J11-'MLB Archetypes'!$E$7)^2+(K11-'MLB Archetypes'!$F$7)^2)</f>
        <v>6.48074069840786</v>
      </c>
      <c r="AR11" s="6" t="n">
        <f aca="false">SQRT((H11-'MLB Archetypes'!$C$8)^2+(I11-'MLB Archetypes'!$D$8)^2+(J11-'MLB Archetypes'!$E$8)^2+(K11-'MLB Archetypes'!$F$8)^2)</f>
        <v>7.07106781186548</v>
      </c>
      <c r="AS11" s="6" t="n">
        <f aca="false">SQRT((H11-'MLB Archetypes'!$C$9)^2+(I11-'MLB Archetypes'!$D$9)^2+(J11-'MLB Archetypes'!$E$9)^2+(K11-'MLB Archetypes'!$F$9)^2)</f>
        <v>6.78232998312527</v>
      </c>
      <c r="AT11" s="6" t="n">
        <f aca="false">SQRT((H11-'MLB Archetypes'!$C$10)^2+(I11-'MLB Archetypes'!$D$10)^2+(J11-'MLB Archetypes'!$E$10)^2+(K11-'MLB Archetypes'!$F$10)^2)</f>
        <v>7.28010988928052</v>
      </c>
      <c r="AU11" s="6" t="n">
        <f aca="false">SQRT((H11-'MLB Archetypes'!$C$11)^2+(I11-'MLB Archetypes'!$D$11)^2+(J11-'MLB Archetypes'!$E$11)^2+(K11-'MLB Archetypes'!$F$11)^2)</f>
        <v>8.12403840463596</v>
      </c>
      <c r="AV11" s="6" t="n">
        <f aca="false">SQRT((H11-'MLB Archetypes'!$C$12)^2+(I11-'MLB Archetypes'!$D$12)^2+(J11-'MLB Archetypes'!$E$12)^2+(K11-'MLB Archetypes'!$F$12)^2)</f>
        <v>6.70820393249937</v>
      </c>
      <c r="AW11" s="6" t="n">
        <f aca="false">SQRT((H11-'MLB Archetypes'!$C$13)^2+(I11-'MLB Archetypes'!$D$13)^2+(J11-'MLB Archetypes'!$E$13)^2+(K11-'MLB Archetypes'!$F$13)^2)</f>
        <v>7.07106781186548</v>
      </c>
      <c r="AX11" s="6" t="n">
        <f aca="false">SQRT((H11-'MLB Archetypes'!$C$14)^2+(I11-'MLB Archetypes'!$D$14)^2+(J11-'MLB Archetypes'!$E$14)^2+(K11-'MLB Archetypes'!$F$14)^2)</f>
        <v>8.06225774829855</v>
      </c>
      <c r="AY11" s="6" t="n">
        <f aca="false">SQRT((H11-'MLB Archetypes'!$C$15)^2+(I11-'MLB Archetypes'!$D$15)^2+(J11-'MLB Archetypes'!$E$15)^2+(K11-'MLB Archetypes'!$F$15)^2)</f>
        <v>8.60232526704263</v>
      </c>
      <c r="AZ11" s="6" t="n">
        <f aca="false">SQRT((H11-'MLB Archetypes'!$C$16)^2+(I11-'MLB Archetypes'!$D$16)^2+(J11-'MLB Archetypes'!$E$16)^2+(K11-'MLB Archetypes'!$F$16)^2)</f>
        <v>7.87400787401181</v>
      </c>
      <c r="BA11" s="6" t="n">
        <f aca="false">SQRT((H11-'MLB Archetypes'!$C$17)^2+(I11-'MLB Archetypes'!$D$17)^2+(J11-'MLB Archetypes'!$E$17)^2+(K11-'MLB Archetypes'!$F$17)^2)</f>
        <v>7.87400787401181</v>
      </c>
      <c r="BB11" s="6" t="n">
        <f aca="false">SQRT((H11-'MLB Archetypes'!$C$18)^2+(I11-'MLB Archetypes'!$D$18)^2+(J11-'MLB Archetypes'!$E$18)^2+(K11-'MLB Archetypes'!$F$18)^2)</f>
        <v>8.06225774829855</v>
      </c>
      <c r="BC11" s="6" t="n">
        <f aca="false">SQRT((H11-'MLB Archetypes'!$C$19)^2+(I11-'MLB Archetypes'!$D$19)^2+(J11-'MLB Archetypes'!$E$19)^2+(K11-'MLB Archetypes'!$F$19)^2)</f>
        <v>6.78232998312527</v>
      </c>
      <c r="BD11" s="4" t="str">
        <f aca="false">INDEX('MLB Archetypes'!$B$2:$B$19,MATCH(MIN(AL11:BC11),AL11:BC11,0))</f>
        <v>Greg Maddux</v>
      </c>
      <c r="BE11" s="7" t="n">
        <f aca="false">ROUND(10-MIN(AL11:BC11)/1.8,1)</f>
        <v>8.2</v>
      </c>
    </row>
    <row r="12" customFormat="false" ht="15" hidden="false" customHeight="false" outlineLevel="0" collapsed="false">
      <c r="A12" s="2" t="s">
        <v>72</v>
      </c>
      <c r="B12" s="2" t="s">
        <v>73</v>
      </c>
      <c r="C12" s="2" t="s">
        <v>72</v>
      </c>
      <c r="D12" s="2" t="s">
        <v>50</v>
      </c>
      <c r="E12" s="2" t="s">
        <v>51</v>
      </c>
      <c r="F12" s="2" t="s">
        <v>52</v>
      </c>
      <c r="G12" s="2" t="s">
        <v>57</v>
      </c>
      <c r="H12" s="3" t="n">
        <v>5</v>
      </c>
      <c r="I12" s="3" t="n">
        <v>4</v>
      </c>
      <c r="J12" s="3" t="n">
        <v>8</v>
      </c>
      <c r="K12" s="3" t="n">
        <v>6</v>
      </c>
      <c r="L12" s="4" t="n">
        <f aca="false">H12+I12+J12+K12</f>
        <v>23</v>
      </c>
      <c r="M12" s="4" t="n">
        <f aca="false">ROUND(0.75*I12+0.25*K12,2)</f>
        <v>4.5</v>
      </c>
      <c r="N12" s="4" t="n">
        <f aca="false">ROUND(0.7*J12+0.3*K12,2)</f>
        <v>7.4</v>
      </c>
      <c r="O12" s="4" t="n">
        <f aca="false">ROUND((H12+J12+K12)/3,2)</f>
        <v>6.33</v>
      </c>
      <c r="P12" s="4" t="n">
        <f aca="false">ROUND(0.85*H12+0.15*J12,2)</f>
        <v>5.45</v>
      </c>
      <c r="Q12" s="4" t="n">
        <f aca="false">ROUND(0.6*J12+0.3*I12+0.1*H12,2)</f>
        <v>6.5</v>
      </c>
      <c r="R12" s="4" t="n">
        <f aca="false">ROUND(0.7*I12+0.2*J12+0.1*K12,2)</f>
        <v>5</v>
      </c>
      <c r="S12" s="4" t="n">
        <f aca="false">ROUND(0.13*I12+0.35*J12+0.52*K12,2)</f>
        <v>6.44</v>
      </c>
      <c r="T12" s="4" t="n">
        <f aca="false">ROUND(0.4*I12+0.5*J12+0.1*K12,2)</f>
        <v>6.2</v>
      </c>
      <c r="U12" s="4" t="n">
        <f aca="false">ROUND(0.1*I12+0.55*J12+0.35*K12,2)</f>
        <v>6.9</v>
      </c>
      <c r="V12" s="4" t="n">
        <f aca="false">ROUND(0.6*I12+0.1*J12+0.3*K12,2)</f>
        <v>5</v>
      </c>
      <c r="W12" s="4" t="n">
        <f aca="false">ROUND(0.15*I12+0.3*J12+0.55*K12,2)</f>
        <v>6.3</v>
      </c>
      <c r="X12" s="4" t="n">
        <f aca="false">ROUND(0.46*I12+0.46*J12+0.08*K12,2)</f>
        <v>6</v>
      </c>
      <c r="Y12" s="4" t="str">
        <f aca="false">IF(H12=MAX(H12:K12),"Pitcher (arm-first)",IF(I12=MAX(H12:K12),"Bat-first (corner/1B/DH)",IF(J12=MAX(H12:K12),"Defense-first (up-the-middle)","Speed-first (CF/leadoff)")))</f>
        <v>Defense-first (up-the-middle)</v>
      </c>
      <c r="Z12" s="5" t="n">
        <f aca="false">P12</f>
        <v>5.45</v>
      </c>
      <c r="AA12" s="5" t="n">
        <f aca="false">IF(F12="Right",Q12,-1)</f>
        <v>6.5</v>
      </c>
      <c r="AB12" s="5" t="n">
        <f aca="false">R12</f>
        <v>5</v>
      </c>
      <c r="AC12" s="5" t="n">
        <f aca="false">IF(F12="Right",S12,-1)</f>
        <v>6.44</v>
      </c>
      <c r="AD12" s="5" t="n">
        <f aca="false">IF(F12="Right",T12,-1)</f>
        <v>6.2</v>
      </c>
      <c r="AE12" s="5" t="n">
        <f aca="false">IF(F12="Right",U12,-1)</f>
        <v>6.9</v>
      </c>
      <c r="AF12" s="5" t="n">
        <f aca="false">V12</f>
        <v>5</v>
      </c>
      <c r="AG12" s="5" t="n">
        <f aca="false">W12</f>
        <v>6.3</v>
      </c>
      <c r="AH12" s="5" t="n">
        <f aca="false">X12</f>
        <v>6</v>
      </c>
      <c r="AI12" s="4" t="str">
        <f aca="false">INDEX($Z$1:$AH$1,MATCH(MAX(Z12:AH12),Z12:AH12,0))</f>
        <v>SS</v>
      </c>
      <c r="AJ12" s="4" t="n">
        <f aca="false">MAX(Z12:AH12)</f>
        <v>6.9</v>
      </c>
      <c r="AK12" s="4" t="n">
        <f aca="false">SUMPRODUCT(($AI$2:$AI$73=AI12)*($AJ$2:$AJ$73&gt;AJ12))+SUMPRODUCT(($AI$2:$AI$73=AI12)*($AJ$2:$AJ$73=AJ12)*(ROW($AI$2:$AI$73)&lt;ROW(AI12)))+1</f>
        <v>3</v>
      </c>
      <c r="AL12" s="6" t="n">
        <f aca="false">SQRT((H12-'MLB Archetypes'!$C$2)^2+(I12-'MLB Archetypes'!$D$2)^2+(J12-'MLB Archetypes'!$E$2)^2+(K12-'MLB Archetypes'!$F$2)^2)</f>
        <v>6.85565460040104</v>
      </c>
      <c r="AM12" s="6" t="n">
        <f aca="false">SQRT((H12-'MLB Archetypes'!$C$3)^2+(I12-'MLB Archetypes'!$D$3)^2+(J12-'MLB Archetypes'!$E$3)^2+(K12-'MLB Archetypes'!$F$3)^2)</f>
        <v>5.47722557505166</v>
      </c>
      <c r="AN12" s="6" t="n">
        <f aca="false">SQRT((H12-'MLB Archetypes'!$C$4)^2+(I12-'MLB Archetypes'!$D$4)^2+(J12-'MLB Archetypes'!$E$4)^2+(K12-'MLB Archetypes'!$F$4)^2)</f>
        <v>5.29150262212918</v>
      </c>
      <c r="AO12" s="6" t="n">
        <f aca="false">SQRT((H12-'MLB Archetypes'!$C$5)^2+(I12-'MLB Archetypes'!$D$5)^2+(J12-'MLB Archetypes'!$E$5)^2+(K12-'MLB Archetypes'!$F$5)^2)</f>
        <v>4.12310562561766</v>
      </c>
      <c r="AP12" s="6" t="n">
        <f aca="false">SQRT((H12-'MLB Archetypes'!$C$6)^2+(I12-'MLB Archetypes'!$D$6)^2+(J12-'MLB Archetypes'!$E$6)^2+(K12-'MLB Archetypes'!$F$6)^2)</f>
        <v>6.85565460040104</v>
      </c>
      <c r="AQ12" s="6" t="n">
        <f aca="false">SQRT((H12-'MLB Archetypes'!$C$7)^2+(I12-'MLB Archetypes'!$D$7)^2+(J12-'MLB Archetypes'!$E$7)^2+(K12-'MLB Archetypes'!$F$7)^2)</f>
        <v>4.24264068711929</v>
      </c>
      <c r="AR12" s="6" t="n">
        <f aca="false">SQRT((H12-'MLB Archetypes'!$C$8)^2+(I12-'MLB Archetypes'!$D$8)^2+(J12-'MLB Archetypes'!$E$8)^2+(K12-'MLB Archetypes'!$F$8)^2)</f>
        <v>4.24264068711929</v>
      </c>
      <c r="AS12" s="6" t="n">
        <f aca="false">SQRT((H12-'MLB Archetypes'!$C$9)^2+(I12-'MLB Archetypes'!$D$9)^2+(J12-'MLB Archetypes'!$E$9)^2+(K12-'MLB Archetypes'!$F$9)^2)</f>
        <v>4.24264068711929</v>
      </c>
      <c r="AT12" s="6" t="n">
        <f aca="false">SQRT((H12-'MLB Archetypes'!$C$10)^2+(I12-'MLB Archetypes'!$D$10)^2+(J12-'MLB Archetypes'!$E$10)^2+(K12-'MLB Archetypes'!$F$10)^2)</f>
        <v>5.3851648071345</v>
      </c>
      <c r="AU12" s="6" t="n">
        <f aca="false">SQRT((H12-'MLB Archetypes'!$C$11)^2+(I12-'MLB Archetypes'!$D$11)^2+(J12-'MLB Archetypes'!$E$11)^2+(K12-'MLB Archetypes'!$F$11)^2)</f>
        <v>6.48074069840786</v>
      </c>
      <c r="AV12" s="6" t="n">
        <f aca="false">SQRT((H12-'MLB Archetypes'!$C$12)^2+(I12-'MLB Archetypes'!$D$12)^2+(J12-'MLB Archetypes'!$E$12)^2+(K12-'MLB Archetypes'!$F$12)^2)</f>
        <v>3.87298334620742</v>
      </c>
      <c r="AW12" s="6" t="n">
        <f aca="false">SQRT((H12-'MLB Archetypes'!$C$13)^2+(I12-'MLB Archetypes'!$D$13)^2+(J12-'MLB Archetypes'!$E$13)^2+(K12-'MLB Archetypes'!$F$13)^2)</f>
        <v>5.29150262212918</v>
      </c>
      <c r="AX12" s="6" t="n">
        <f aca="false">SQRT((H12-'MLB Archetypes'!$C$14)^2+(I12-'MLB Archetypes'!$D$14)^2+(J12-'MLB Archetypes'!$E$14)^2+(K12-'MLB Archetypes'!$F$14)^2)</f>
        <v>6.2449979983984</v>
      </c>
      <c r="AY12" s="6" t="n">
        <f aca="false">SQRT((H12-'MLB Archetypes'!$C$15)^2+(I12-'MLB Archetypes'!$D$15)^2+(J12-'MLB Archetypes'!$E$15)^2+(K12-'MLB Archetypes'!$F$15)^2)</f>
        <v>6.16441400296898</v>
      </c>
      <c r="AZ12" s="6" t="n">
        <f aca="false">SQRT((H12-'MLB Archetypes'!$C$16)^2+(I12-'MLB Archetypes'!$D$16)^2+(J12-'MLB Archetypes'!$E$16)^2+(K12-'MLB Archetypes'!$F$16)^2)</f>
        <v>5.47722557505166</v>
      </c>
      <c r="BA12" s="6" t="n">
        <f aca="false">SQRT((H12-'MLB Archetypes'!$C$17)^2+(I12-'MLB Archetypes'!$D$17)^2+(J12-'MLB Archetypes'!$E$17)^2+(K12-'MLB Archetypes'!$F$17)^2)</f>
        <v>5.29150262212918</v>
      </c>
      <c r="BB12" s="6" t="n">
        <f aca="false">SQRT((H12-'MLB Archetypes'!$C$18)^2+(I12-'MLB Archetypes'!$D$18)^2+(J12-'MLB Archetypes'!$E$18)^2+(K12-'MLB Archetypes'!$F$18)^2)</f>
        <v>6.2449979983984</v>
      </c>
      <c r="BC12" s="6" t="n">
        <f aca="false">SQRT((H12-'MLB Archetypes'!$C$19)^2+(I12-'MLB Archetypes'!$D$19)^2+(J12-'MLB Archetypes'!$E$19)^2+(K12-'MLB Archetypes'!$F$19)^2)</f>
        <v>4.24264068711929</v>
      </c>
      <c r="BD12" s="4" t="str">
        <f aca="false">INDEX('MLB Archetypes'!$B$2:$B$19,MATCH(MIN(AL12:BC12),AL12:BC12,0))</f>
        <v>Ozzie Smith</v>
      </c>
      <c r="BE12" s="7" t="n">
        <f aca="false">ROUND(10-MIN(AL12:BC12)/1.8,1)</f>
        <v>7.8</v>
      </c>
    </row>
    <row r="13" customFormat="false" ht="15" hidden="false" customHeight="false" outlineLevel="0" collapsed="false">
      <c r="A13" s="2" t="s">
        <v>74</v>
      </c>
      <c r="B13" s="2" t="s">
        <v>75</v>
      </c>
      <c r="C13" s="2" t="s">
        <v>74</v>
      </c>
      <c r="D13" s="2" t="s">
        <v>50</v>
      </c>
      <c r="E13" s="2" t="s">
        <v>51</v>
      </c>
      <c r="F13" s="2" t="s">
        <v>57</v>
      </c>
      <c r="G13" s="2" t="s">
        <v>52</v>
      </c>
      <c r="H13" s="3" t="n">
        <v>5</v>
      </c>
      <c r="I13" s="3" t="n">
        <v>7</v>
      </c>
      <c r="J13" s="3" t="n">
        <v>4</v>
      </c>
      <c r="K13" s="3" t="n">
        <v>7</v>
      </c>
      <c r="L13" s="4" t="n">
        <f aca="false">H13+I13+J13+K13</f>
        <v>23</v>
      </c>
      <c r="M13" s="4" t="n">
        <f aca="false">ROUND(0.75*I13+0.25*K13,2)</f>
        <v>7</v>
      </c>
      <c r="N13" s="4" t="n">
        <f aca="false">ROUND(0.7*J13+0.3*K13,2)</f>
        <v>4.9</v>
      </c>
      <c r="O13" s="4" t="n">
        <f aca="false">ROUND((H13+J13+K13)/3,2)</f>
        <v>5.33</v>
      </c>
      <c r="P13" s="4" t="n">
        <f aca="false">ROUND(0.85*H13+0.15*J13,2)</f>
        <v>4.85</v>
      </c>
      <c r="Q13" s="4" t="n">
        <f aca="false">ROUND(0.6*J13+0.3*I13+0.1*H13,2)</f>
        <v>5</v>
      </c>
      <c r="R13" s="4" t="n">
        <f aca="false">ROUND(0.7*I13+0.2*J13+0.1*K13,2)</f>
        <v>6.4</v>
      </c>
      <c r="S13" s="4" t="n">
        <f aca="false">ROUND(0.13*I13+0.35*J13+0.52*K13,2)</f>
        <v>5.95</v>
      </c>
      <c r="T13" s="4" t="n">
        <f aca="false">ROUND(0.4*I13+0.5*J13+0.1*K13,2)</f>
        <v>5.5</v>
      </c>
      <c r="U13" s="4" t="n">
        <f aca="false">ROUND(0.1*I13+0.55*J13+0.35*K13,2)</f>
        <v>5.35</v>
      </c>
      <c r="V13" s="4" t="n">
        <f aca="false">ROUND(0.6*I13+0.1*J13+0.3*K13,2)</f>
        <v>6.7</v>
      </c>
      <c r="W13" s="4" t="n">
        <f aca="false">ROUND(0.15*I13+0.3*J13+0.55*K13,2)</f>
        <v>6.1</v>
      </c>
      <c r="X13" s="4" t="n">
        <f aca="false">ROUND(0.46*I13+0.46*J13+0.08*K13,2)</f>
        <v>5.62</v>
      </c>
      <c r="Y13" s="4" t="str">
        <f aca="false">IF(H13=MAX(H13:K13),"Pitcher (arm-first)",IF(I13=MAX(H13:K13),"Bat-first (corner/1B/DH)",IF(J13=MAX(H13:K13),"Defense-first (up-the-middle)","Speed-first (CF/leadoff)")))</f>
        <v>Bat-first (corner/1B/DH)</v>
      </c>
      <c r="Z13" s="5" t="n">
        <f aca="false">P13</f>
        <v>4.85</v>
      </c>
      <c r="AA13" s="5" t="n">
        <f aca="false">IF(F13="Right",Q13,-1)</f>
        <v>-1</v>
      </c>
      <c r="AB13" s="5" t="n">
        <f aca="false">R13</f>
        <v>6.4</v>
      </c>
      <c r="AC13" s="5" t="n">
        <f aca="false">IF(F13="Right",S13,-1)</f>
        <v>-1</v>
      </c>
      <c r="AD13" s="5" t="n">
        <f aca="false">IF(F13="Right",T13,-1)</f>
        <v>-1</v>
      </c>
      <c r="AE13" s="5" t="n">
        <f aca="false">IF(F13="Right",U13,-1)</f>
        <v>-1</v>
      </c>
      <c r="AF13" s="5" t="n">
        <f aca="false">V13</f>
        <v>6.7</v>
      </c>
      <c r="AG13" s="5" t="n">
        <f aca="false">W13</f>
        <v>6.1</v>
      </c>
      <c r="AH13" s="5" t="n">
        <f aca="false">X13</f>
        <v>5.62</v>
      </c>
      <c r="AI13" s="4" t="str">
        <f aca="false">INDEX($Z$1:$AH$1,MATCH(MAX(Z13:AH13),Z13:AH13,0))</f>
        <v>LF</v>
      </c>
      <c r="AJ13" s="4" t="n">
        <f aca="false">MAX(Z13:AH13)</f>
        <v>6.7</v>
      </c>
      <c r="AK13" s="4" t="n">
        <f aca="false">SUMPRODUCT(($AI$2:$AI$73=AI13)*($AJ$2:$AJ$73&gt;AJ13))+SUMPRODUCT(($AI$2:$AI$73=AI13)*($AJ$2:$AJ$73=AJ13)*(ROW($AI$2:$AI$73)&lt;ROW(AI13)))+1</f>
        <v>2</v>
      </c>
      <c r="AL13" s="6" t="n">
        <f aca="false">SQRT((H13-'MLB Archetypes'!$C$2)^2+(I13-'MLB Archetypes'!$D$2)^2+(J13-'MLB Archetypes'!$E$2)^2+(K13-'MLB Archetypes'!$F$2)^2)</f>
        <v>8.18535277187245</v>
      </c>
      <c r="AM13" s="6" t="n">
        <f aca="false">SQRT((H13-'MLB Archetypes'!$C$3)^2+(I13-'MLB Archetypes'!$D$3)^2+(J13-'MLB Archetypes'!$E$3)^2+(K13-'MLB Archetypes'!$F$3)^2)</f>
        <v>7.21110255092798</v>
      </c>
      <c r="AN13" s="6" t="n">
        <f aca="false">SQRT((H13-'MLB Archetypes'!$C$4)^2+(I13-'MLB Archetypes'!$D$4)^2+(J13-'MLB Archetypes'!$E$4)^2+(K13-'MLB Archetypes'!$F$4)^2)</f>
        <v>7.07106781186548</v>
      </c>
      <c r="AO13" s="6" t="n">
        <f aca="false">SQRT((H13-'MLB Archetypes'!$C$5)^2+(I13-'MLB Archetypes'!$D$5)^2+(J13-'MLB Archetypes'!$E$5)^2+(K13-'MLB Archetypes'!$F$5)^2)</f>
        <v>5.91607978309962</v>
      </c>
      <c r="AP13" s="6" t="n">
        <f aca="false">SQRT((H13-'MLB Archetypes'!$C$6)^2+(I13-'MLB Archetypes'!$D$6)^2+(J13-'MLB Archetypes'!$E$6)^2+(K13-'MLB Archetypes'!$F$6)^2)</f>
        <v>5.74456264653803</v>
      </c>
      <c r="AQ13" s="6" t="n">
        <f aca="false">SQRT((H13-'MLB Archetypes'!$C$7)^2+(I13-'MLB Archetypes'!$D$7)^2+(J13-'MLB Archetypes'!$E$7)^2+(K13-'MLB Archetypes'!$F$7)^2)</f>
        <v>6.6332495807108</v>
      </c>
      <c r="AR13" s="6" t="n">
        <f aca="false">SQRT((H13-'MLB Archetypes'!$C$8)^2+(I13-'MLB Archetypes'!$D$8)^2+(J13-'MLB Archetypes'!$E$8)^2+(K13-'MLB Archetypes'!$F$8)^2)</f>
        <v>4.47213595499958</v>
      </c>
      <c r="AS13" s="6" t="n">
        <f aca="false">SQRT((H13-'MLB Archetypes'!$C$9)^2+(I13-'MLB Archetypes'!$D$9)^2+(J13-'MLB Archetypes'!$E$9)^2+(K13-'MLB Archetypes'!$F$9)^2)</f>
        <v>5.09901951359278</v>
      </c>
      <c r="AT13" s="6" t="n">
        <f aca="false">SQRT((H13-'MLB Archetypes'!$C$10)^2+(I13-'MLB Archetypes'!$D$10)^2+(J13-'MLB Archetypes'!$E$10)^2+(K13-'MLB Archetypes'!$F$10)^2)</f>
        <v>5.91607978309962</v>
      </c>
      <c r="AU13" s="6" t="n">
        <f aca="false">SQRT((H13-'MLB Archetypes'!$C$11)^2+(I13-'MLB Archetypes'!$D$11)^2+(J13-'MLB Archetypes'!$E$11)^2+(K13-'MLB Archetypes'!$F$11)^2)</f>
        <v>5.09901951359278</v>
      </c>
      <c r="AV13" s="6" t="n">
        <f aca="false">SQRT((H13-'MLB Archetypes'!$C$12)^2+(I13-'MLB Archetypes'!$D$12)^2+(J13-'MLB Archetypes'!$E$12)^2+(K13-'MLB Archetypes'!$F$12)^2)</f>
        <v>7.81024967590665</v>
      </c>
      <c r="AW13" s="6" t="n">
        <f aca="false">SQRT((H13-'MLB Archetypes'!$C$13)^2+(I13-'MLB Archetypes'!$D$13)^2+(J13-'MLB Archetypes'!$E$13)^2+(K13-'MLB Archetypes'!$F$13)^2)</f>
        <v>5.8309518948453</v>
      </c>
      <c r="AX13" s="6" t="n">
        <f aca="false">SQRT((H13-'MLB Archetypes'!$C$14)^2+(I13-'MLB Archetypes'!$D$14)^2+(J13-'MLB Archetypes'!$E$14)^2+(K13-'MLB Archetypes'!$F$14)^2)</f>
        <v>4.58257569495584</v>
      </c>
      <c r="AY13" s="6" t="n">
        <f aca="false">SQRT((H13-'MLB Archetypes'!$C$15)^2+(I13-'MLB Archetypes'!$D$15)^2+(J13-'MLB Archetypes'!$E$15)^2+(K13-'MLB Archetypes'!$F$15)^2)</f>
        <v>4.47213595499958</v>
      </c>
      <c r="AZ13" s="6" t="n">
        <f aca="false">SQRT((H13-'MLB Archetypes'!$C$16)^2+(I13-'MLB Archetypes'!$D$16)^2+(J13-'MLB Archetypes'!$E$16)^2+(K13-'MLB Archetypes'!$F$16)^2)</f>
        <v>6</v>
      </c>
      <c r="BA13" s="6" t="n">
        <f aca="false">SQRT((H13-'MLB Archetypes'!$C$17)^2+(I13-'MLB Archetypes'!$D$17)^2+(J13-'MLB Archetypes'!$E$17)^2+(K13-'MLB Archetypes'!$F$17)^2)</f>
        <v>4.69041575982343</v>
      </c>
      <c r="BB13" s="6" t="n">
        <f aca="false">SQRT((H13-'MLB Archetypes'!$C$18)^2+(I13-'MLB Archetypes'!$D$18)^2+(J13-'MLB Archetypes'!$E$18)^2+(K13-'MLB Archetypes'!$F$18)^2)</f>
        <v>4.58257569495584</v>
      </c>
      <c r="BC13" s="6" t="n">
        <f aca="false">SQRT((H13-'MLB Archetypes'!$C$19)^2+(I13-'MLB Archetypes'!$D$19)^2+(J13-'MLB Archetypes'!$E$19)^2+(K13-'MLB Archetypes'!$F$19)^2)</f>
        <v>5.09901951359278</v>
      </c>
      <c r="BD13" s="4" t="str">
        <f aca="false">INDEX('MLB Archetypes'!$B$2:$B$19,MATCH(MIN(AL13:BC13),AL13:BC13,0))</f>
        <v>Jackie Robinson</v>
      </c>
      <c r="BE13" s="7" t="n">
        <f aca="false">ROUND(10-MIN(AL13:BC13)/1.8,1)</f>
        <v>7.5</v>
      </c>
    </row>
    <row r="14" customFormat="false" ht="15" hidden="false" customHeight="false" outlineLevel="0" collapsed="false">
      <c r="A14" s="2" t="s">
        <v>76</v>
      </c>
      <c r="B14" s="2" t="s">
        <v>56</v>
      </c>
      <c r="C14" s="2" t="s">
        <v>55</v>
      </c>
      <c r="D14" s="2" t="s">
        <v>51</v>
      </c>
      <c r="E14" s="2" t="s">
        <v>50</v>
      </c>
      <c r="F14" s="2" t="s">
        <v>52</v>
      </c>
      <c r="G14" s="2" t="s">
        <v>57</v>
      </c>
      <c r="H14" s="3" t="n">
        <v>3</v>
      </c>
      <c r="I14" s="3" t="n">
        <v>4</v>
      </c>
      <c r="J14" s="3" t="n">
        <v>4</v>
      </c>
      <c r="K14" s="3" t="n">
        <v>8</v>
      </c>
      <c r="L14" s="4" t="n">
        <f aca="false">H14+I14+J14+K14</f>
        <v>19</v>
      </c>
      <c r="M14" s="4" t="n">
        <f aca="false">ROUND(0.75*I14+0.25*K14,2)</f>
        <v>5</v>
      </c>
      <c r="N14" s="4" t="n">
        <f aca="false">ROUND(0.7*J14+0.3*K14,2)</f>
        <v>5.2</v>
      </c>
      <c r="O14" s="4" t="n">
        <f aca="false">ROUND((H14+J14+K14)/3,2)</f>
        <v>5</v>
      </c>
      <c r="P14" s="4" t="n">
        <f aca="false">ROUND(0.85*H14+0.15*J14,2)</f>
        <v>3.15</v>
      </c>
      <c r="Q14" s="4" t="n">
        <f aca="false">ROUND(0.6*J14+0.3*I14+0.1*H14,2)</f>
        <v>3.9</v>
      </c>
      <c r="R14" s="4" t="n">
        <f aca="false">ROUND(0.7*I14+0.2*J14+0.1*K14,2)</f>
        <v>4.4</v>
      </c>
      <c r="S14" s="4" t="n">
        <f aca="false">ROUND(0.13*I14+0.35*J14+0.52*K14,2)</f>
        <v>6.08</v>
      </c>
      <c r="T14" s="4" t="n">
        <f aca="false">ROUND(0.4*I14+0.5*J14+0.1*K14,2)</f>
        <v>4.4</v>
      </c>
      <c r="U14" s="4" t="n">
        <f aca="false">ROUND(0.1*I14+0.55*J14+0.35*K14,2)</f>
        <v>5.4</v>
      </c>
      <c r="V14" s="4" t="n">
        <f aca="false">ROUND(0.6*I14+0.1*J14+0.3*K14,2)</f>
        <v>5.2</v>
      </c>
      <c r="W14" s="4" t="n">
        <f aca="false">ROUND(0.15*I14+0.3*J14+0.55*K14,2)</f>
        <v>6.2</v>
      </c>
      <c r="X14" s="4" t="n">
        <f aca="false">ROUND(0.46*I14+0.46*J14+0.08*K14,2)</f>
        <v>4.32</v>
      </c>
      <c r="Y14" s="4" t="str">
        <f aca="false">IF(H14=MAX(H14:K14),"Pitcher (arm-first)",IF(I14=MAX(H14:K14),"Bat-first (corner/1B/DH)",IF(J14=MAX(H14:K14),"Defense-first (up-the-middle)","Speed-first (CF/leadoff)")))</f>
        <v>Speed-first (CF/leadoff)</v>
      </c>
      <c r="Z14" s="5" t="n">
        <f aca="false">P14</f>
        <v>3.15</v>
      </c>
      <c r="AA14" s="5" t="n">
        <f aca="false">IF(F14="Right",Q14,-1)</f>
        <v>3.9</v>
      </c>
      <c r="AB14" s="5" t="n">
        <f aca="false">R14</f>
        <v>4.4</v>
      </c>
      <c r="AC14" s="5" t="n">
        <f aca="false">IF(F14="Right",S14,-1)</f>
        <v>6.08</v>
      </c>
      <c r="AD14" s="5" t="n">
        <f aca="false">IF(F14="Right",T14,-1)</f>
        <v>4.4</v>
      </c>
      <c r="AE14" s="5" t="n">
        <f aca="false">IF(F14="Right",U14,-1)</f>
        <v>5.4</v>
      </c>
      <c r="AF14" s="5" t="n">
        <f aca="false">V14</f>
        <v>5.2</v>
      </c>
      <c r="AG14" s="5" t="n">
        <f aca="false">W14</f>
        <v>6.2</v>
      </c>
      <c r="AH14" s="5" t="n">
        <f aca="false">X14</f>
        <v>4.32</v>
      </c>
      <c r="AI14" s="4" t="str">
        <f aca="false">INDEX($Z$1:$AH$1,MATCH(MAX(Z14:AH14),Z14:AH14,0))</f>
        <v>CF</v>
      </c>
      <c r="AJ14" s="4" t="n">
        <f aca="false">MAX(Z14:AH14)</f>
        <v>6.2</v>
      </c>
      <c r="AK14" s="4" t="n">
        <f aca="false">SUMPRODUCT(($AI$2:$AI$73=AI14)*($AJ$2:$AJ$73&gt;AJ14))+SUMPRODUCT(($AI$2:$AI$73=AI14)*($AJ$2:$AJ$73=AJ14)*(ROW($AI$2:$AI$73)&lt;ROW(AI14)))+1</f>
        <v>3</v>
      </c>
      <c r="AL14" s="6" t="n">
        <f aca="false">SQRT((H14-'MLB Archetypes'!$C$2)^2+(I14-'MLB Archetypes'!$D$2)^2+(J14-'MLB Archetypes'!$E$2)^2+(K14-'MLB Archetypes'!$F$2)^2)</f>
        <v>8.88819441731559</v>
      </c>
      <c r="AM14" s="6" t="n">
        <f aca="false">SQRT((H14-'MLB Archetypes'!$C$3)^2+(I14-'MLB Archetypes'!$D$3)^2+(J14-'MLB Archetypes'!$E$3)^2+(K14-'MLB Archetypes'!$F$3)^2)</f>
        <v>8.12403840463596</v>
      </c>
      <c r="AN14" s="6" t="n">
        <f aca="false">SQRT((H14-'MLB Archetypes'!$C$4)^2+(I14-'MLB Archetypes'!$D$4)^2+(J14-'MLB Archetypes'!$E$4)^2+(K14-'MLB Archetypes'!$F$4)^2)</f>
        <v>7.74596669241483</v>
      </c>
      <c r="AO14" s="6" t="n">
        <f aca="false">SQRT((H14-'MLB Archetypes'!$C$5)^2+(I14-'MLB Archetypes'!$D$5)^2+(J14-'MLB Archetypes'!$E$5)^2+(K14-'MLB Archetypes'!$F$5)^2)</f>
        <v>6.08276253029822</v>
      </c>
      <c r="AP14" s="6" t="n">
        <f aca="false">SQRT((H14-'MLB Archetypes'!$C$6)^2+(I14-'MLB Archetypes'!$D$6)^2+(J14-'MLB Archetypes'!$E$6)^2+(K14-'MLB Archetypes'!$F$6)^2)</f>
        <v>7.41619848709566</v>
      </c>
      <c r="AQ14" s="6" t="n">
        <f aca="false">SQRT((H14-'MLB Archetypes'!$C$7)^2+(I14-'MLB Archetypes'!$D$7)^2+(J14-'MLB Archetypes'!$E$7)^2+(K14-'MLB Archetypes'!$F$7)^2)</f>
        <v>6.78232998312527</v>
      </c>
      <c r="AR14" s="6" t="n">
        <f aca="false">SQRT((H14-'MLB Archetypes'!$C$8)^2+(I14-'MLB Archetypes'!$D$8)^2+(J14-'MLB Archetypes'!$E$8)^2+(K14-'MLB Archetypes'!$F$8)^2)</f>
        <v>3.74165738677394</v>
      </c>
      <c r="AS14" s="6" t="n">
        <f aca="false">SQRT((H14-'MLB Archetypes'!$C$9)^2+(I14-'MLB Archetypes'!$D$9)^2+(J14-'MLB Archetypes'!$E$9)^2+(K14-'MLB Archetypes'!$F$9)^2)</f>
        <v>5.47722557505166</v>
      </c>
      <c r="AT14" s="6" t="n">
        <f aca="false">SQRT((H14-'MLB Archetypes'!$C$10)^2+(I14-'MLB Archetypes'!$D$10)^2+(J14-'MLB Archetypes'!$E$10)^2+(K14-'MLB Archetypes'!$F$10)^2)</f>
        <v>7</v>
      </c>
      <c r="AU14" s="6" t="n">
        <f aca="false">SQRT((H14-'MLB Archetypes'!$C$11)^2+(I14-'MLB Archetypes'!$D$11)^2+(J14-'MLB Archetypes'!$E$11)^2+(K14-'MLB Archetypes'!$F$11)^2)</f>
        <v>6.78232998312527</v>
      </c>
      <c r="AV14" s="6" t="n">
        <f aca="false">SQRT((H14-'MLB Archetypes'!$C$12)^2+(I14-'MLB Archetypes'!$D$12)^2+(J14-'MLB Archetypes'!$E$12)^2+(K14-'MLB Archetypes'!$F$12)^2)</f>
        <v>6.2449979983984</v>
      </c>
      <c r="AW14" s="6" t="n">
        <f aca="false">SQRT((H14-'MLB Archetypes'!$C$13)^2+(I14-'MLB Archetypes'!$D$13)^2+(J14-'MLB Archetypes'!$E$13)^2+(K14-'MLB Archetypes'!$F$13)^2)</f>
        <v>6.6332495807108</v>
      </c>
      <c r="AX14" s="6" t="n">
        <f aca="false">SQRT((H14-'MLB Archetypes'!$C$14)^2+(I14-'MLB Archetypes'!$D$14)^2+(J14-'MLB Archetypes'!$E$14)^2+(K14-'MLB Archetypes'!$F$14)^2)</f>
        <v>6.2449979983984</v>
      </c>
      <c r="AY14" s="6" t="n">
        <f aca="false">SQRT((H14-'MLB Archetypes'!$C$15)^2+(I14-'MLB Archetypes'!$D$15)^2+(J14-'MLB Archetypes'!$E$15)^2+(K14-'MLB Archetypes'!$F$15)^2)</f>
        <v>3.16227766016838</v>
      </c>
      <c r="AZ14" s="6" t="n">
        <f aca="false">SQRT((H14-'MLB Archetypes'!$C$16)^2+(I14-'MLB Archetypes'!$D$16)^2+(J14-'MLB Archetypes'!$E$16)^2+(K14-'MLB Archetypes'!$F$16)^2)</f>
        <v>6.48074069840786</v>
      </c>
      <c r="BA14" s="6" t="n">
        <f aca="false">SQRT((H14-'MLB Archetypes'!$C$17)^2+(I14-'MLB Archetypes'!$D$17)^2+(J14-'MLB Archetypes'!$E$17)^2+(K14-'MLB Archetypes'!$F$17)^2)</f>
        <v>4.47213595499958</v>
      </c>
      <c r="BB14" s="6" t="n">
        <f aca="false">SQRT((H14-'MLB Archetypes'!$C$18)^2+(I14-'MLB Archetypes'!$D$18)^2+(J14-'MLB Archetypes'!$E$18)^2+(K14-'MLB Archetypes'!$F$18)^2)</f>
        <v>6.2449979983984</v>
      </c>
      <c r="BC14" s="6" t="n">
        <f aca="false">SQRT((H14-'MLB Archetypes'!$C$19)^2+(I14-'MLB Archetypes'!$D$19)^2+(J14-'MLB Archetypes'!$E$19)^2+(K14-'MLB Archetypes'!$F$19)^2)</f>
        <v>5.47722557505166</v>
      </c>
      <c r="BD14" s="4" t="str">
        <f aca="false">INDEX('MLB Archetypes'!$B$2:$B$19,MATCH(MIN(AL14:BC14),AL14:BC14,0))</f>
        <v>Rickey Henderson</v>
      </c>
      <c r="BE14" s="7" t="n">
        <f aca="false">ROUND(10-MIN(AL14:BC14)/1.8,1)</f>
        <v>8.2</v>
      </c>
    </row>
    <row r="15" customFormat="false" ht="15" hidden="false" customHeight="false" outlineLevel="0" collapsed="false">
      <c r="A15" s="2" t="s">
        <v>77</v>
      </c>
      <c r="B15" s="2" t="s">
        <v>56</v>
      </c>
      <c r="C15" s="2" t="s">
        <v>55</v>
      </c>
      <c r="D15" s="2" t="s">
        <v>51</v>
      </c>
      <c r="E15" s="2" t="s">
        <v>50</v>
      </c>
      <c r="F15" s="2" t="s">
        <v>52</v>
      </c>
      <c r="G15" s="2" t="s">
        <v>57</v>
      </c>
      <c r="H15" s="3" t="n">
        <v>4</v>
      </c>
      <c r="I15" s="3" t="n">
        <v>2</v>
      </c>
      <c r="J15" s="3" t="n">
        <v>6</v>
      </c>
      <c r="K15" s="3" t="n">
        <v>8</v>
      </c>
      <c r="L15" s="4" t="n">
        <f aca="false">H15+I15+J15+K15</f>
        <v>20</v>
      </c>
      <c r="M15" s="4" t="n">
        <f aca="false">ROUND(0.75*I15+0.25*K15,2)</f>
        <v>3.5</v>
      </c>
      <c r="N15" s="4" t="n">
        <f aca="false">ROUND(0.7*J15+0.3*K15,2)</f>
        <v>6.6</v>
      </c>
      <c r="O15" s="4" t="n">
        <f aca="false">ROUND((H15+J15+K15)/3,2)</f>
        <v>6</v>
      </c>
      <c r="P15" s="4" t="n">
        <f aca="false">ROUND(0.85*H15+0.15*J15,2)</f>
        <v>4.3</v>
      </c>
      <c r="Q15" s="4" t="n">
        <f aca="false">ROUND(0.6*J15+0.3*I15+0.1*H15,2)</f>
        <v>4.6</v>
      </c>
      <c r="R15" s="4" t="n">
        <f aca="false">ROUND(0.7*I15+0.2*J15+0.1*K15,2)</f>
        <v>3.4</v>
      </c>
      <c r="S15" s="4" t="n">
        <f aca="false">ROUND(0.13*I15+0.35*J15+0.52*K15,2)</f>
        <v>6.52</v>
      </c>
      <c r="T15" s="4" t="n">
        <f aca="false">ROUND(0.4*I15+0.5*J15+0.1*K15,2)</f>
        <v>4.6</v>
      </c>
      <c r="U15" s="4" t="n">
        <f aca="false">ROUND(0.1*I15+0.55*J15+0.35*K15,2)</f>
        <v>6.3</v>
      </c>
      <c r="V15" s="4" t="n">
        <f aca="false">ROUND(0.6*I15+0.1*J15+0.3*K15,2)</f>
        <v>4.2</v>
      </c>
      <c r="W15" s="4" t="n">
        <f aca="false">ROUND(0.15*I15+0.3*J15+0.55*K15,2)</f>
        <v>6.5</v>
      </c>
      <c r="X15" s="4" t="n">
        <f aca="false">ROUND(0.46*I15+0.46*J15+0.08*K15,2)</f>
        <v>4.32</v>
      </c>
      <c r="Y15" s="4" t="str">
        <f aca="false">IF(H15=MAX(H15:K15),"Pitcher (arm-first)",IF(I15=MAX(H15:K15),"Bat-first (corner/1B/DH)",IF(J15=MAX(H15:K15),"Defense-first (up-the-middle)","Speed-first (CF/leadoff)")))</f>
        <v>Speed-first (CF/leadoff)</v>
      </c>
      <c r="Z15" s="5" t="n">
        <f aca="false">P15</f>
        <v>4.3</v>
      </c>
      <c r="AA15" s="5" t="n">
        <f aca="false">IF(F15="Right",Q15,-1)</f>
        <v>4.6</v>
      </c>
      <c r="AB15" s="5" t="n">
        <f aca="false">R15</f>
        <v>3.4</v>
      </c>
      <c r="AC15" s="5" t="n">
        <f aca="false">IF(F15="Right",S15,-1)</f>
        <v>6.52</v>
      </c>
      <c r="AD15" s="5" t="n">
        <f aca="false">IF(F15="Right",T15,-1)</f>
        <v>4.6</v>
      </c>
      <c r="AE15" s="5" t="n">
        <f aca="false">IF(F15="Right",U15,-1)</f>
        <v>6.3</v>
      </c>
      <c r="AF15" s="5" t="n">
        <f aca="false">V15</f>
        <v>4.2</v>
      </c>
      <c r="AG15" s="5" t="n">
        <f aca="false">W15</f>
        <v>6.5</v>
      </c>
      <c r="AH15" s="5" t="n">
        <f aca="false">X15</f>
        <v>4.32</v>
      </c>
      <c r="AI15" s="4" t="str">
        <f aca="false">INDEX($Z$1:$AH$1,MATCH(MAX(Z15:AH15),Z15:AH15,0))</f>
        <v>2B</v>
      </c>
      <c r="AJ15" s="4" t="n">
        <f aca="false">MAX(Z15:AH15)</f>
        <v>6.52</v>
      </c>
      <c r="AK15" s="4" t="n">
        <f aca="false">SUMPRODUCT(($AI$2:$AI$73=AI15)*($AJ$2:$AJ$73&gt;AJ15))+SUMPRODUCT(($AI$2:$AI$73=AI15)*($AJ$2:$AJ$73=AJ15)*(ROW($AI$2:$AI$73)&lt;ROW(AI15)))+1</f>
        <v>2</v>
      </c>
      <c r="AL15" s="6" t="n">
        <f aca="false">SQRT((H15-'MLB Archetypes'!$C$2)^2+(I15-'MLB Archetypes'!$D$2)^2+(J15-'MLB Archetypes'!$E$2)^2+(K15-'MLB Archetypes'!$F$2)^2)</f>
        <v>7.87400787401181</v>
      </c>
      <c r="AM15" s="6" t="n">
        <f aca="false">SQRT((H15-'MLB Archetypes'!$C$3)^2+(I15-'MLB Archetypes'!$D$3)^2+(J15-'MLB Archetypes'!$E$3)^2+(K15-'MLB Archetypes'!$F$3)^2)</f>
        <v>7.14142842854285</v>
      </c>
      <c r="AN15" s="6" t="n">
        <f aca="false">SQRT((H15-'MLB Archetypes'!$C$4)^2+(I15-'MLB Archetypes'!$D$4)^2+(J15-'MLB Archetypes'!$E$4)^2+(K15-'MLB Archetypes'!$F$4)^2)</f>
        <v>7.93725393319377</v>
      </c>
      <c r="AO15" s="6" t="n">
        <f aca="false">SQRT((H15-'MLB Archetypes'!$C$5)^2+(I15-'MLB Archetypes'!$D$5)^2+(J15-'MLB Archetypes'!$E$5)^2+(K15-'MLB Archetypes'!$F$5)^2)</f>
        <v>6.32455532033676</v>
      </c>
      <c r="AP15" s="6" t="n">
        <f aca="false">SQRT((H15-'MLB Archetypes'!$C$6)^2+(I15-'MLB Archetypes'!$D$6)^2+(J15-'MLB Archetypes'!$E$6)^2+(K15-'MLB Archetypes'!$F$6)^2)</f>
        <v>8.83176086632785</v>
      </c>
      <c r="AQ15" s="6" t="n">
        <f aca="false">SQRT((H15-'MLB Archetypes'!$C$7)^2+(I15-'MLB Archetypes'!$D$7)^2+(J15-'MLB Archetypes'!$E$7)^2+(K15-'MLB Archetypes'!$F$7)^2)</f>
        <v>6.70820393249937</v>
      </c>
      <c r="AR15" s="6" t="n">
        <f aca="false">SQRT((H15-'MLB Archetypes'!$C$8)^2+(I15-'MLB Archetypes'!$D$8)^2+(J15-'MLB Archetypes'!$E$8)^2+(K15-'MLB Archetypes'!$F$8)^2)</f>
        <v>4.58257569495584</v>
      </c>
      <c r="AS15" s="6" t="n">
        <f aca="false">SQRT((H15-'MLB Archetypes'!$C$9)^2+(I15-'MLB Archetypes'!$D$9)^2+(J15-'MLB Archetypes'!$E$9)^2+(K15-'MLB Archetypes'!$F$9)^2)</f>
        <v>6.08276253029822</v>
      </c>
      <c r="AT15" s="6" t="n">
        <f aca="false">SQRT((H15-'MLB Archetypes'!$C$10)^2+(I15-'MLB Archetypes'!$D$10)^2+(J15-'MLB Archetypes'!$E$10)^2+(K15-'MLB Archetypes'!$F$10)^2)</f>
        <v>7.74596669241483</v>
      </c>
      <c r="AU15" s="6" t="n">
        <f aca="false">SQRT((H15-'MLB Archetypes'!$C$11)^2+(I15-'MLB Archetypes'!$D$11)^2+(J15-'MLB Archetypes'!$E$11)^2+(K15-'MLB Archetypes'!$F$11)^2)</f>
        <v>8.30662386291808</v>
      </c>
      <c r="AV15" s="6" t="n">
        <f aca="false">SQRT((H15-'MLB Archetypes'!$C$12)^2+(I15-'MLB Archetypes'!$D$12)^2+(J15-'MLB Archetypes'!$E$12)^2+(K15-'MLB Archetypes'!$F$12)^2)</f>
        <v>4.69041575982343</v>
      </c>
      <c r="AW15" s="6" t="n">
        <f aca="false">SQRT((H15-'MLB Archetypes'!$C$13)^2+(I15-'MLB Archetypes'!$D$13)^2+(J15-'MLB Archetypes'!$E$13)^2+(K15-'MLB Archetypes'!$F$13)^2)</f>
        <v>7.41619848709566</v>
      </c>
      <c r="AX15" s="6" t="n">
        <f aca="false">SQRT((H15-'MLB Archetypes'!$C$14)^2+(I15-'MLB Archetypes'!$D$14)^2+(J15-'MLB Archetypes'!$E$14)^2+(K15-'MLB Archetypes'!$F$14)^2)</f>
        <v>7.87400787401181</v>
      </c>
      <c r="AY15" s="6" t="n">
        <f aca="false">SQRT((H15-'MLB Archetypes'!$C$15)^2+(I15-'MLB Archetypes'!$D$15)^2+(J15-'MLB Archetypes'!$E$15)^2+(K15-'MLB Archetypes'!$F$15)^2)</f>
        <v>5</v>
      </c>
      <c r="AZ15" s="6" t="n">
        <f aca="false">SQRT((H15-'MLB Archetypes'!$C$16)^2+(I15-'MLB Archetypes'!$D$16)^2+(J15-'MLB Archetypes'!$E$16)^2+(K15-'MLB Archetypes'!$F$16)^2)</f>
        <v>7</v>
      </c>
      <c r="BA15" s="6" t="n">
        <f aca="false">SQRT((H15-'MLB Archetypes'!$C$17)^2+(I15-'MLB Archetypes'!$D$17)^2+(J15-'MLB Archetypes'!$E$17)^2+(K15-'MLB Archetypes'!$F$17)^2)</f>
        <v>5.56776436283002</v>
      </c>
      <c r="BB15" s="6" t="n">
        <f aca="false">SQRT((H15-'MLB Archetypes'!$C$18)^2+(I15-'MLB Archetypes'!$D$18)^2+(J15-'MLB Archetypes'!$E$18)^2+(K15-'MLB Archetypes'!$F$18)^2)</f>
        <v>7.87400787401181</v>
      </c>
      <c r="BC15" s="6" t="n">
        <f aca="false">SQRT((H15-'MLB Archetypes'!$C$19)^2+(I15-'MLB Archetypes'!$D$19)^2+(J15-'MLB Archetypes'!$E$19)^2+(K15-'MLB Archetypes'!$F$19)^2)</f>
        <v>6.08276253029822</v>
      </c>
      <c r="BD15" s="4" t="str">
        <f aca="false">INDEX('MLB Archetypes'!$B$2:$B$19,MATCH(MIN(AL15:BC15),AL15:BC15,0))</f>
        <v>Jackie Robinson</v>
      </c>
      <c r="BE15" s="7" t="n">
        <f aca="false">ROUND(10-MIN(AL15:BC15)/1.8,1)</f>
        <v>7.5</v>
      </c>
    </row>
    <row r="16" customFormat="false" ht="15" hidden="false" customHeight="false" outlineLevel="0" collapsed="false">
      <c r="A16" s="2" t="s">
        <v>78</v>
      </c>
      <c r="B16" s="2" t="s">
        <v>56</v>
      </c>
      <c r="C16" s="2" t="s">
        <v>55</v>
      </c>
      <c r="D16" s="2" t="s">
        <v>51</v>
      </c>
      <c r="E16" s="2" t="s">
        <v>50</v>
      </c>
      <c r="F16" s="2" t="s">
        <v>52</v>
      </c>
      <c r="G16" s="2" t="s">
        <v>57</v>
      </c>
      <c r="H16" s="3" t="n">
        <v>3</v>
      </c>
      <c r="I16" s="3" t="n">
        <v>4</v>
      </c>
      <c r="J16" s="3" t="n">
        <v>6</v>
      </c>
      <c r="K16" s="3" t="n">
        <v>7</v>
      </c>
      <c r="L16" s="4" t="n">
        <f aca="false">H16+I16+J16+K16</f>
        <v>20</v>
      </c>
      <c r="M16" s="4" t="n">
        <f aca="false">ROUND(0.75*I16+0.25*K16,2)</f>
        <v>4.75</v>
      </c>
      <c r="N16" s="4" t="n">
        <f aca="false">ROUND(0.7*J16+0.3*K16,2)</f>
        <v>6.3</v>
      </c>
      <c r="O16" s="4" t="n">
        <f aca="false">ROUND((H16+J16+K16)/3,2)</f>
        <v>5.33</v>
      </c>
      <c r="P16" s="4" t="n">
        <f aca="false">ROUND(0.85*H16+0.15*J16,2)</f>
        <v>3.45</v>
      </c>
      <c r="Q16" s="4" t="n">
        <f aca="false">ROUND(0.6*J16+0.3*I16+0.1*H16,2)</f>
        <v>5.1</v>
      </c>
      <c r="R16" s="4" t="n">
        <f aca="false">ROUND(0.7*I16+0.2*J16+0.1*K16,2)</f>
        <v>4.7</v>
      </c>
      <c r="S16" s="4" t="n">
        <f aca="false">ROUND(0.13*I16+0.35*J16+0.52*K16,2)</f>
        <v>6.26</v>
      </c>
      <c r="T16" s="4" t="n">
        <f aca="false">ROUND(0.4*I16+0.5*J16+0.1*K16,2)</f>
        <v>5.3</v>
      </c>
      <c r="U16" s="4" t="n">
        <f aca="false">ROUND(0.1*I16+0.55*J16+0.35*K16,2)</f>
        <v>6.15</v>
      </c>
      <c r="V16" s="4" t="n">
        <f aca="false">ROUND(0.6*I16+0.1*J16+0.3*K16,2)</f>
        <v>5.1</v>
      </c>
      <c r="W16" s="4" t="n">
        <f aca="false">ROUND(0.15*I16+0.3*J16+0.55*K16,2)</f>
        <v>6.25</v>
      </c>
      <c r="X16" s="4" t="n">
        <f aca="false">ROUND(0.46*I16+0.46*J16+0.08*K16,2)</f>
        <v>5.16</v>
      </c>
      <c r="Y16" s="4" t="str">
        <f aca="false">IF(H16=MAX(H16:K16),"Pitcher (arm-first)",IF(I16=MAX(H16:K16),"Bat-first (corner/1B/DH)",IF(J16=MAX(H16:K16),"Defense-first (up-the-middle)","Speed-first (CF/leadoff)")))</f>
        <v>Speed-first (CF/leadoff)</v>
      </c>
      <c r="Z16" s="5" t="n">
        <f aca="false">P16</f>
        <v>3.45</v>
      </c>
      <c r="AA16" s="5" t="n">
        <f aca="false">IF(F16="Right",Q16,-1)</f>
        <v>5.1</v>
      </c>
      <c r="AB16" s="5" t="n">
        <f aca="false">R16</f>
        <v>4.7</v>
      </c>
      <c r="AC16" s="5" t="n">
        <f aca="false">IF(F16="Right",S16,-1)</f>
        <v>6.26</v>
      </c>
      <c r="AD16" s="5" t="n">
        <f aca="false">IF(F16="Right",T16,-1)</f>
        <v>5.3</v>
      </c>
      <c r="AE16" s="5" t="n">
        <f aca="false">IF(F16="Right",U16,-1)</f>
        <v>6.15</v>
      </c>
      <c r="AF16" s="5" t="n">
        <f aca="false">V16</f>
        <v>5.1</v>
      </c>
      <c r="AG16" s="5" t="n">
        <f aca="false">W16</f>
        <v>6.25</v>
      </c>
      <c r="AH16" s="5" t="n">
        <f aca="false">X16</f>
        <v>5.16</v>
      </c>
      <c r="AI16" s="4" t="str">
        <f aca="false">INDEX($Z$1:$AH$1,MATCH(MAX(Z16:AH16),Z16:AH16,0))</f>
        <v>2B</v>
      </c>
      <c r="AJ16" s="4" t="n">
        <f aca="false">MAX(Z16:AH16)</f>
        <v>6.26</v>
      </c>
      <c r="AK16" s="4" t="n">
        <f aca="false">SUMPRODUCT(($AI$2:$AI$73=AI16)*($AJ$2:$AJ$73&gt;AJ16))+SUMPRODUCT(($AI$2:$AI$73=AI16)*($AJ$2:$AJ$73=AJ16)*(ROW($AI$2:$AI$73)&lt;ROW(AI16)))+1</f>
        <v>3</v>
      </c>
      <c r="AL16" s="6" t="n">
        <f aca="false">SQRT((H16-'MLB Archetypes'!$C$2)^2+(I16-'MLB Archetypes'!$D$2)^2+(J16-'MLB Archetypes'!$E$2)^2+(K16-'MLB Archetypes'!$F$2)^2)</f>
        <v>8.36660026534076</v>
      </c>
      <c r="AM16" s="6" t="n">
        <f aca="false">SQRT((H16-'MLB Archetypes'!$C$3)^2+(I16-'MLB Archetypes'!$D$3)^2+(J16-'MLB Archetypes'!$E$3)^2+(K16-'MLB Archetypes'!$F$3)^2)</f>
        <v>7.28010988928052</v>
      </c>
      <c r="AN16" s="6" t="n">
        <f aca="false">SQRT((H16-'MLB Archetypes'!$C$4)^2+(I16-'MLB Archetypes'!$D$4)^2+(J16-'MLB Archetypes'!$E$4)^2+(K16-'MLB Archetypes'!$F$4)^2)</f>
        <v>5.91607978309962</v>
      </c>
      <c r="AO16" s="6" t="n">
        <f aca="false">SQRT((H16-'MLB Archetypes'!$C$5)^2+(I16-'MLB Archetypes'!$D$5)^2+(J16-'MLB Archetypes'!$E$5)^2+(K16-'MLB Archetypes'!$F$5)^2)</f>
        <v>4.24264068711929</v>
      </c>
      <c r="AP16" s="6" t="n">
        <f aca="false">SQRT((H16-'MLB Archetypes'!$C$6)^2+(I16-'MLB Archetypes'!$D$6)^2+(J16-'MLB Archetypes'!$E$6)^2+(K16-'MLB Archetypes'!$F$6)^2)</f>
        <v>6.48074069840786</v>
      </c>
      <c r="AQ16" s="6" t="n">
        <f aca="false">SQRT((H16-'MLB Archetypes'!$C$7)^2+(I16-'MLB Archetypes'!$D$7)^2+(J16-'MLB Archetypes'!$E$7)^2+(K16-'MLB Archetypes'!$F$7)^2)</f>
        <v>4.79583152331272</v>
      </c>
      <c r="AR16" s="6" t="n">
        <f aca="false">SQRT((H16-'MLB Archetypes'!$C$8)^2+(I16-'MLB Archetypes'!$D$8)^2+(J16-'MLB Archetypes'!$E$8)^2+(K16-'MLB Archetypes'!$F$8)^2)</f>
        <v>2.64575131106459</v>
      </c>
      <c r="AS16" s="6" t="n">
        <f aca="false">SQRT((H16-'MLB Archetypes'!$C$9)^2+(I16-'MLB Archetypes'!$D$9)^2+(J16-'MLB Archetypes'!$E$9)^2+(K16-'MLB Archetypes'!$F$9)^2)</f>
        <v>3.87298334620742</v>
      </c>
      <c r="AT16" s="6" t="n">
        <f aca="false">SQRT((H16-'MLB Archetypes'!$C$10)^2+(I16-'MLB Archetypes'!$D$10)^2+(J16-'MLB Archetypes'!$E$10)^2+(K16-'MLB Archetypes'!$F$10)^2)</f>
        <v>5.47722557505166</v>
      </c>
      <c r="AU16" s="6" t="n">
        <f aca="false">SQRT((H16-'MLB Archetypes'!$C$11)^2+(I16-'MLB Archetypes'!$D$11)^2+(J16-'MLB Archetypes'!$E$11)^2+(K16-'MLB Archetypes'!$F$11)^2)</f>
        <v>5.91607978309962</v>
      </c>
      <c r="AV16" s="6" t="n">
        <f aca="false">SQRT((H16-'MLB Archetypes'!$C$12)^2+(I16-'MLB Archetypes'!$D$12)^2+(J16-'MLB Archetypes'!$E$12)^2+(K16-'MLB Archetypes'!$F$12)^2)</f>
        <v>4.24264068711929</v>
      </c>
      <c r="AW16" s="6" t="n">
        <f aca="false">SQRT((H16-'MLB Archetypes'!$C$13)^2+(I16-'MLB Archetypes'!$D$13)^2+(J16-'MLB Archetypes'!$E$13)^2+(K16-'MLB Archetypes'!$F$13)^2)</f>
        <v>5.19615242270663</v>
      </c>
      <c r="AX16" s="6" t="n">
        <f aca="false">SQRT((H16-'MLB Archetypes'!$C$14)^2+(I16-'MLB Archetypes'!$D$14)^2+(J16-'MLB Archetypes'!$E$14)^2+(K16-'MLB Archetypes'!$F$14)^2)</f>
        <v>5.47722557505166</v>
      </c>
      <c r="AY16" s="6" t="n">
        <f aca="false">SQRT((H16-'MLB Archetypes'!$C$15)^2+(I16-'MLB Archetypes'!$D$15)^2+(J16-'MLB Archetypes'!$E$15)^2+(K16-'MLB Archetypes'!$F$15)^2)</f>
        <v>3.87298334620742</v>
      </c>
      <c r="AZ16" s="6" t="n">
        <f aca="false">SQRT((H16-'MLB Archetypes'!$C$16)^2+(I16-'MLB Archetypes'!$D$16)^2+(J16-'MLB Archetypes'!$E$16)^2+(K16-'MLB Archetypes'!$F$16)^2)</f>
        <v>5.19615242270663</v>
      </c>
      <c r="BA16" s="6" t="n">
        <f aca="false">SQRT((H16-'MLB Archetypes'!$C$17)^2+(I16-'MLB Archetypes'!$D$17)^2+(J16-'MLB Archetypes'!$E$17)^2+(K16-'MLB Archetypes'!$F$17)^2)</f>
        <v>3.87298334620742</v>
      </c>
      <c r="BB16" s="6" t="n">
        <f aca="false">SQRT((H16-'MLB Archetypes'!$C$18)^2+(I16-'MLB Archetypes'!$D$18)^2+(J16-'MLB Archetypes'!$E$18)^2+(K16-'MLB Archetypes'!$F$18)^2)</f>
        <v>5.47722557505166</v>
      </c>
      <c r="BC16" s="6" t="n">
        <f aca="false">SQRT((H16-'MLB Archetypes'!$C$19)^2+(I16-'MLB Archetypes'!$D$19)^2+(J16-'MLB Archetypes'!$E$19)^2+(K16-'MLB Archetypes'!$F$19)^2)</f>
        <v>3.87298334620742</v>
      </c>
      <c r="BD16" s="4" t="str">
        <f aca="false">INDEX('MLB Archetypes'!$B$2:$B$19,MATCH(MIN(AL16:BC16),AL16:BC16,0))</f>
        <v>Jackie Robinson</v>
      </c>
      <c r="BE16" s="7" t="n">
        <f aca="false">ROUND(10-MIN(AL16:BC16)/1.8,1)</f>
        <v>8.5</v>
      </c>
    </row>
    <row r="17" customFormat="false" ht="15" hidden="false" customHeight="false" outlineLevel="0" collapsed="false">
      <c r="A17" s="2" t="s">
        <v>79</v>
      </c>
      <c r="B17" s="2" t="s">
        <v>56</v>
      </c>
      <c r="C17" s="2" t="s">
        <v>55</v>
      </c>
      <c r="D17" s="2" t="s">
        <v>51</v>
      </c>
      <c r="E17" s="2" t="s">
        <v>50</v>
      </c>
      <c r="F17" s="2" t="s">
        <v>52</v>
      </c>
      <c r="G17" s="2" t="s">
        <v>57</v>
      </c>
      <c r="H17" s="3" t="n">
        <v>3</v>
      </c>
      <c r="I17" s="3" t="n">
        <v>3</v>
      </c>
      <c r="J17" s="3" t="n">
        <v>6</v>
      </c>
      <c r="K17" s="3" t="n">
        <v>8</v>
      </c>
      <c r="L17" s="4" t="n">
        <f aca="false">H17+I17+J17+K17</f>
        <v>20</v>
      </c>
      <c r="M17" s="4" t="n">
        <f aca="false">ROUND(0.75*I17+0.25*K17,2)</f>
        <v>4.25</v>
      </c>
      <c r="N17" s="4" t="n">
        <f aca="false">ROUND(0.7*J17+0.3*K17,2)</f>
        <v>6.6</v>
      </c>
      <c r="O17" s="4" t="n">
        <f aca="false">ROUND((H17+J17+K17)/3,2)</f>
        <v>5.67</v>
      </c>
      <c r="P17" s="4" t="n">
        <f aca="false">ROUND(0.85*H17+0.15*J17,2)</f>
        <v>3.45</v>
      </c>
      <c r="Q17" s="4" t="n">
        <f aca="false">ROUND(0.6*J17+0.3*I17+0.1*H17,2)</f>
        <v>4.8</v>
      </c>
      <c r="R17" s="4" t="n">
        <f aca="false">ROUND(0.7*I17+0.2*J17+0.1*K17,2)</f>
        <v>4.1</v>
      </c>
      <c r="S17" s="4" t="n">
        <f aca="false">ROUND(0.13*I17+0.35*J17+0.52*K17,2)</f>
        <v>6.65</v>
      </c>
      <c r="T17" s="4" t="n">
        <f aca="false">ROUND(0.4*I17+0.5*J17+0.1*K17,2)</f>
        <v>5</v>
      </c>
      <c r="U17" s="4" t="n">
        <f aca="false">ROUND(0.1*I17+0.55*J17+0.35*K17,2)</f>
        <v>6.4</v>
      </c>
      <c r="V17" s="4" t="n">
        <f aca="false">ROUND(0.6*I17+0.1*J17+0.3*K17,2)</f>
        <v>4.8</v>
      </c>
      <c r="W17" s="4" t="n">
        <f aca="false">ROUND(0.15*I17+0.3*J17+0.55*K17,2)</f>
        <v>6.65</v>
      </c>
      <c r="X17" s="4" t="n">
        <f aca="false">ROUND(0.46*I17+0.46*J17+0.08*K17,2)</f>
        <v>4.78</v>
      </c>
      <c r="Y17" s="4" t="str">
        <f aca="false">IF(H17=MAX(H17:K17),"Pitcher (arm-first)",IF(I17=MAX(H17:K17),"Bat-first (corner/1B/DH)",IF(J17=MAX(H17:K17),"Defense-first (up-the-middle)","Speed-first (CF/leadoff)")))</f>
        <v>Speed-first (CF/leadoff)</v>
      </c>
      <c r="Z17" s="5" t="n">
        <f aca="false">P17</f>
        <v>3.45</v>
      </c>
      <c r="AA17" s="5" t="n">
        <f aca="false">IF(F17="Right",Q17,-1)</f>
        <v>4.8</v>
      </c>
      <c r="AB17" s="5" t="n">
        <f aca="false">R17</f>
        <v>4.1</v>
      </c>
      <c r="AC17" s="5" t="n">
        <f aca="false">IF(F17="Right",S17,-1)</f>
        <v>6.65</v>
      </c>
      <c r="AD17" s="5" t="n">
        <f aca="false">IF(F17="Right",T17,-1)</f>
        <v>5</v>
      </c>
      <c r="AE17" s="5" t="n">
        <f aca="false">IF(F17="Right",U17,-1)</f>
        <v>6.4</v>
      </c>
      <c r="AF17" s="5" t="n">
        <f aca="false">V17</f>
        <v>4.8</v>
      </c>
      <c r="AG17" s="5" t="n">
        <f aca="false">W17</f>
        <v>6.65</v>
      </c>
      <c r="AH17" s="5" t="n">
        <f aca="false">X17</f>
        <v>4.78</v>
      </c>
      <c r="AI17" s="4" t="str">
        <f aca="false">INDEX($Z$1:$AH$1,MATCH(MAX(Z17:AH17),Z17:AH17,0))</f>
        <v>2B</v>
      </c>
      <c r="AJ17" s="4" t="n">
        <f aca="false">MAX(Z17:AH17)</f>
        <v>6.65</v>
      </c>
      <c r="AK17" s="4" t="n">
        <f aca="false">SUMPRODUCT(($AI$2:$AI$73=AI17)*($AJ$2:$AJ$73&gt;AJ17))+SUMPRODUCT(($AI$2:$AI$73=AI17)*($AJ$2:$AJ$73=AJ17)*(ROW($AI$2:$AI$73)&lt;ROW(AI17)))+1</f>
        <v>1</v>
      </c>
      <c r="AL17" s="6" t="n">
        <f aca="false">SQRT((H17-'MLB Archetypes'!$C$2)^2+(I17-'MLB Archetypes'!$D$2)^2+(J17-'MLB Archetypes'!$E$2)^2+(K17-'MLB Archetypes'!$F$2)^2)</f>
        <v>8.71779788708135</v>
      </c>
      <c r="AM17" s="6" t="n">
        <f aca="false">SQRT((H17-'MLB Archetypes'!$C$3)^2+(I17-'MLB Archetypes'!$D$3)^2+(J17-'MLB Archetypes'!$E$3)^2+(K17-'MLB Archetypes'!$F$3)^2)</f>
        <v>7.81024967590665</v>
      </c>
      <c r="AN17" s="6" t="n">
        <f aca="false">SQRT((H17-'MLB Archetypes'!$C$4)^2+(I17-'MLB Archetypes'!$D$4)^2+(J17-'MLB Archetypes'!$E$4)^2+(K17-'MLB Archetypes'!$F$4)^2)</f>
        <v>7.14142842854285</v>
      </c>
      <c r="AO17" s="6" t="n">
        <f aca="false">SQRT((H17-'MLB Archetypes'!$C$5)^2+(I17-'MLB Archetypes'!$D$5)^2+(J17-'MLB Archetypes'!$E$5)^2+(K17-'MLB Archetypes'!$F$5)^2)</f>
        <v>5.47722557505166</v>
      </c>
      <c r="AP17" s="6" t="n">
        <f aca="false">SQRT((H17-'MLB Archetypes'!$C$6)^2+(I17-'MLB Archetypes'!$D$6)^2+(J17-'MLB Archetypes'!$E$6)^2+(K17-'MLB Archetypes'!$F$6)^2)</f>
        <v>7.87400787401181</v>
      </c>
      <c r="AQ17" s="6" t="n">
        <f aca="false">SQRT((H17-'MLB Archetypes'!$C$7)^2+(I17-'MLB Archetypes'!$D$7)^2+(J17-'MLB Archetypes'!$E$7)^2+(K17-'MLB Archetypes'!$F$7)^2)</f>
        <v>5.91607978309962</v>
      </c>
      <c r="AR17" s="6" t="n">
        <f aca="false">SQRT((H17-'MLB Archetypes'!$C$8)^2+(I17-'MLB Archetypes'!$D$8)^2+(J17-'MLB Archetypes'!$E$8)^2+(K17-'MLB Archetypes'!$F$8)^2)</f>
        <v>3.3166247903554</v>
      </c>
      <c r="AS17" s="6" t="n">
        <f aca="false">SQRT((H17-'MLB Archetypes'!$C$9)^2+(I17-'MLB Archetypes'!$D$9)^2+(J17-'MLB Archetypes'!$E$9)^2+(K17-'MLB Archetypes'!$F$9)^2)</f>
        <v>5</v>
      </c>
      <c r="AT17" s="6" t="n">
        <f aca="false">SQRT((H17-'MLB Archetypes'!$C$10)^2+(I17-'MLB Archetypes'!$D$10)^2+(J17-'MLB Archetypes'!$E$10)^2+(K17-'MLB Archetypes'!$F$10)^2)</f>
        <v>6.78232998312527</v>
      </c>
      <c r="AU17" s="6" t="n">
        <f aca="false">SQRT((H17-'MLB Archetypes'!$C$11)^2+(I17-'MLB Archetypes'!$D$11)^2+(J17-'MLB Archetypes'!$E$11)^2+(K17-'MLB Archetypes'!$F$11)^2)</f>
        <v>7.28010988928052</v>
      </c>
      <c r="AV17" s="6" t="n">
        <f aca="false">SQRT((H17-'MLB Archetypes'!$C$12)^2+(I17-'MLB Archetypes'!$D$12)^2+(J17-'MLB Archetypes'!$E$12)^2+(K17-'MLB Archetypes'!$F$12)^2)</f>
        <v>4.24264068711929</v>
      </c>
      <c r="AW17" s="6" t="n">
        <f aca="false">SQRT((H17-'MLB Archetypes'!$C$13)^2+(I17-'MLB Archetypes'!$D$13)^2+(J17-'MLB Archetypes'!$E$13)^2+(K17-'MLB Archetypes'!$F$13)^2)</f>
        <v>6.557438524302</v>
      </c>
      <c r="AX17" s="6" t="n">
        <f aca="false">SQRT((H17-'MLB Archetypes'!$C$14)^2+(I17-'MLB Archetypes'!$D$14)^2+(J17-'MLB Archetypes'!$E$14)^2+(K17-'MLB Archetypes'!$F$14)^2)</f>
        <v>6.78232998312527</v>
      </c>
      <c r="AY17" s="6" t="n">
        <f aca="false">SQRT((H17-'MLB Archetypes'!$C$15)^2+(I17-'MLB Archetypes'!$D$15)^2+(J17-'MLB Archetypes'!$E$15)^2+(K17-'MLB Archetypes'!$F$15)^2)</f>
        <v>3.87298334620742</v>
      </c>
      <c r="AZ17" s="6" t="n">
        <f aca="false">SQRT((H17-'MLB Archetypes'!$C$16)^2+(I17-'MLB Archetypes'!$D$16)^2+(J17-'MLB Archetypes'!$E$16)^2+(K17-'MLB Archetypes'!$F$16)^2)</f>
        <v>5.91607978309962</v>
      </c>
      <c r="BA17" s="6" t="n">
        <f aca="false">SQRT((H17-'MLB Archetypes'!$C$17)^2+(I17-'MLB Archetypes'!$D$17)^2+(J17-'MLB Archetypes'!$E$17)^2+(K17-'MLB Archetypes'!$F$17)^2)</f>
        <v>4.35889894354067</v>
      </c>
      <c r="BB17" s="6" t="n">
        <f aca="false">SQRT((H17-'MLB Archetypes'!$C$18)^2+(I17-'MLB Archetypes'!$D$18)^2+(J17-'MLB Archetypes'!$E$18)^2+(K17-'MLB Archetypes'!$F$18)^2)</f>
        <v>6.78232998312527</v>
      </c>
      <c r="BC17" s="6" t="n">
        <f aca="false">SQRT((H17-'MLB Archetypes'!$C$19)^2+(I17-'MLB Archetypes'!$D$19)^2+(J17-'MLB Archetypes'!$E$19)^2+(K17-'MLB Archetypes'!$F$19)^2)</f>
        <v>5</v>
      </c>
      <c r="BD17" s="4" t="str">
        <f aca="false">INDEX('MLB Archetypes'!$B$2:$B$19,MATCH(MIN(AL17:BC17),AL17:BC17,0))</f>
        <v>Jackie Robinson</v>
      </c>
      <c r="BE17" s="7" t="n">
        <f aca="false">ROUND(10-MIN(AL17:BC17)/1.8,1)</f>
        <v>8.2</v>
      </c>
    </row>
    <row r="18" customFormat="false" ht="15" hidden="false" customHeight="false" outlineLevel="0" collapsed="false">
      <c r="A18" s="2" t="s">
        <v>80</v>
      </c>
      <c r="B18" s="2" t="s">
        <v>56</v>
      </c>
      <c r="C18" s="2" t="s">
        <v>55</v>
      </c>
      <c r="D18" s="2" t="s">
        <v>51</v>
      </c>
      <c r="E18" s="2" t="s">
        <v>50</v>
      </c>
      <c r="F18" s="2" t="s">
        <v>52</v>
      </c>
      <c r="G18" s="2" t="s">
        <v>57</v>
      </c>
      <c r="H18" s="3" t="n">
        <v>2</v>
      </c>
      <c r="I18" s="3" t="n">
        <v>3</v>
      </c>
      <c r="J18" s="3" t="n">
        <v>6</v>
      </c>
      <c r="K18" s="3" t="n">
        <v>9</v>
      </c>
      <c r="L18" s="4" t="n">
        <f aca="false">H18+I18+J18+K18</f>
        <v>20</v>
      </c>
      <c r="M18" s="4" t="n">
        <f aca="false">ROUND(0.75*I18+0.25*K18,2)</f>
        <v>4.5</v>
      </c>
      <c r="N18" s="4" t="n">
        <f aca="false">ROUND(0.7*J18+0.3*K18,2)</f>
        <v>6.9</v>
      </c>
      <c r="O18" s="4" t="n">
        <f aca="false">ROUND((H18+J18+K18)/3,2)</f>
        <v>5.67</v>
      </c>
      <c r="P18" s="4" t="n">
        <f aca="false">ROUND(0.85*H18+0.15*J18,2)</f>
        <v>2.6</v>
      </c>
      <c r="Q18" s="4" t="n">
        <f aca="false">ROUND(0.6*J18+0.3*I18+0.1*H18,2)</f>
        <v>4.7</v>
      </c>
      <c r="R18" s="4" t="n">
        <f aca="false">ROUND(0.7*I18+0.2*J18+0.1*K18,2)</f>
        <v>4.2</v>
      </c>
      <c r="S18" s="4" t="n">
        <f aca="false">ROUND(0.13*I18+0.35*J18+0.52*K18,2)</f>
        <v>7.17</v>
      </c>
      <c r="T18" s="4" t="n">
        <f aca="false">ROUND(0.4*I18+0.5*J18+0.1*K18,2)</f>
        <v>5.1</v>
      </c>
      <c r="U18" s="4" t="n">
        <f aca="false">ROUND(0.1*I18+0.55*J18+0.35*K18,2)</f>
        <v>6.75</v>
      </c>
      <c r="V18" s="4" t="n">
        <f aca="false">ROUND(0.6*I18+0.1*J18+0.3*K18,2)</f>
        <v>5.1</v>
      </c>
      <c r="W18" s="4" t="n">
        <f aca="false">ROUND(0.15*I18+0.3*J18+0.55*K18,2)</f>
        <v>7.2</v>
      </c>
      <c r="X18" s="4" t="n">
        <f aca="false">ROUND(0.46*I18+0.46*J18+0.08*K18,2)</f>
        <v>4.86</v>
      </c>
      <c r="Y18" s="4" t="str">
        <f aca="false">IF(H18=MAX(H18:K18),"Pitcher (arm-first)",IF(I18=MAX(H18:K18),"Bat-first (corner/1B/DH)",IF(J18=MAX(H18:K18),"Defense-first (up-the-middle)","Speed-first (CF/leadoff)")))</f>
        <v>Speed-first (CF/leadoff)</v>
      </c>
      <c r="Z18" s="5" t="n">
        <f aca="false">P18</f>
        <v>2.6</v>
      </c>
      <c r="AA18" s="5" t="n">
        <f aca="false">IF(F18="Right",Q18,-1)</f>
        <v>4.7</v>
      </c>
      <c r="AB18" s="5" t="n">
        <f aca="false">R18</f>
        <v>4.2</v>
      </c>
      <c r="AC18" s="5" t="n">
        <f aca="false">IF(F18="Right",S18,-1)</f>
        <v>7.17</v>
      </c>
      <c r="AD18" s="5" t="n">
        <f aca="false">IF(F18="Right",T18,-1)</f>
        <v>5.1</v>
      </c>
      <c r="AE18" s="5" t="n">
        <f aca="false">IF(F18="Right",U18,-1)</f>
        <v>6.75</v>
      </c>
      <c r="AF18" s="5" t="n">
        <f aca="false">V18</f>
        <v>5.1</v>
      </c>
      <c r="AG18" s="5" t="n">
        <f aca="false">W18</f>
        <v>7.2</v>
      </c>
      <c r="AH18" s="5" t="n">
        <f aca="false">X18</f>
        <v>4.86</v>
      </c>
      <c r="AI18" s="4" t="str">
        <f aca="false">INDEX($Z$1:$AH$1,MATCH(MAX(Z18:AH18),Z18:AH18,0))</f>
        <v>CF</v>
      </c>
      <c r="AJ18" s="4" t="n">
        <f aca="false">MAX(Z18:AH18)</f>
        <v>7.2</v>
      </c>
      <c r="AK18" s="4" t="n">
        <f aca="false">SUMPRODUCT(($AI$2:$AI$73=AI18)*($AJ$2:$AJ$73&gt;AJ18))+SUMPRODUCT(($AI$2:$AI$73=AI18)*($AJ$2:$AJ$73=AJ18)*(ROW($AI$2:$AI$73)&lt;ROW(AI18)))+1</f>
        <v>2</v>
      </c>
      <c r="AL18" s="6" t="n">
        <f aca="false">SQRT((H18-'MLB Archetypes'!$C$2)^2+(I18-'MLB Archetypes'!$D$2)^2+(J18-'MLB Archetypes'!$E$2)^2+(K18-'MLB Archetypes'!$F$2)^2)</f>
        <v>10.0995049383621</v>
      </c>
      <c r="AM18" s="6" t="n">
        <f aca="false">SQRT((H18-'MLB Archetypes'!$C$3)^2+(I18-'MLB Archetypes'!$D$3)^2+(J18-'MLB Archetypes'!$E$3)^2+(K18-'MLB Archetypes'!$F$3)^2)</f>
        <v>9.21954445729289</v>
      </c>
      <c r="AN18" s="6" t="n">
        <f aca="false">SQRT((H18-'MLB Archetypes'!$C$4)^2+(I18-'MLB Archetypes'!$D$4)^2+(J18-'MLB Archetypes'!$E$4)^2+(K18-'MLB Archetypes'!$F$4)^2)</f>
        <v>7.81024967590665</v>
      </c>
      <c r="AO18" s="6" t="n">
        <f aca="false">SQRT((H18-'MLB Archetypes'!$C$5)^2+(I18-'MLB Archetypes'!$D$5)^2+(J18-'MLB Archetypes'!$E$5)^2+(K18-'MLB Archetypes'!$F$5)^2)</f>
        <v>6.16441400296898</v>
      </c>
      <c r="AP18" s="6" t="n">
        <f aca="false">SQRT((H18-'MLB Archetypes'!$C$6)^2+(I18-'MLB Archetypes'!$D$6)^2+(J18-'MLB Archetypes'!$E$6)^2+(K18-'MLB Archetypes'!$F$6)^2)</f>
        <v>8.48528137423857</v>
      </c>
      <c r="AQ18" s="6" t="n">
        <f aca="false">SQRT((H18-'MLB Archetypes'!$C$7)^2+(I18-'MLB Archetypes'!$D$7)^2+(J18-'MLB Archetypes'!$E$7)^2+(K18-'MLB Archetypes'!$F$7)^2)</f>
        <v>6.557438524302</v>
      </c>
      <c r="AR18" s="6" t="n">
        <f aca="false">SQRT((H18-'MLB Archetypes'!$C$8)^2+(I18-'MLB Archetypes'!$D$8)^2+(J18-'MLB Archetypes'!$E$8)^2+(K18-'MLB Archetypes'!$F$8)^2)</f>
        <v>3.3166247903554</v>
      </c>
      <c r="AS18" s="6" t="n">
        <f aca="false">SQRT((H18-'MLB Archetypes'!$C$9)^2+(I18-'MLB Archetypes'!$D$9)^2+(J18-'MLB Archetypes'!$E$9)^2+(K18-'MLB Archetypes'!$F$9)^2)</f>
        <v>5.3851648071345</v>
      </c>
      <c r="AT18" s="6" t="n">
        <f aca="false">SQRT((H18-'MLB Archetypes'!$C$10)^2+(I18-'MLB Archetypes'!$D$10)^2+(J18-'MLB Archetypes'!$E$10)^2+(K18-'MLB Archetypes'!$F$10)^2)</f>
        <v>7.34846922834953</v>
      </c>
      <c r="AU18" s="6" t="n">
        <f aca="false">SQRT((H18-'MLB Archetypes'!$C$11)^2+(I18-'MLB Archetypes'!$D$11)^2+(J18-'MLB Archetypes'!$E$11)^2+(K18-'MLB Archetypes'!$F$11)^2)</f>
        <v>7.81024967590665</v>
      </c>
      <c r="AV18" s="6" t="n">
        <f aca="false">SQRT((H18-'MLB Archetypes'!$C$12)^2+(I18-'MLB Archetypes'!$D$12)^2+(J18-'MLB Archetypes'!$E$12)^2+(K18-'MLB Archetypes'!$F$12)^2)</f>
        <v>4.47213595499958</v>
      </c>
      <c r="AW18" s="6" t="n">
        <f aca="false">SQRT((H18-'MLB Archetypes'!$C$13)^2+(I18-'MLB Archetypes'!$D$13)^2+(J18-'MLB Archetypes'!$E$13)^2+(K18-'MLB Archetypes'!$F$13)^2)</f>
        <v>7.28010988928052</v>
      </c>
      <c r="AX18" s="6" t="n">
        <f aca="false">SQRT((H18-'MLB Archetypes'!$C$14)^2+(I18-'MLB Archetypes'!$D$14)^2+(J18-'MLB Archetypes'!$E$14)^2+(K18-'MLB Archetypes'!$F$14)^2)</f>
        <v>7.21110255092798</v>
      </c>
      <c r="AY18" s="6" t="n">
        <f aca="false">SQRT((H18-'MLB Archetypes'!$C$15)^2+(I18-'MLB Archetypes'!$D$15)^2+(J18-'MLB Archetypes'!$E$15)^2+(K18-'MLB Archetypes'!$F$15)^2)</f>
        <v>3.3166247903554</v>
      </c>
      <c r="AZ18" s="6" t="n">
        <f aca="false">SQRT((H18-'MLB Archetypes'!$C$16)^2+(I18-'MLB Archetypes'!$D$16)^2+(J18-'MLB Archetypes'!$E$16)^2+(K18-'MLB Archetypes'!$F$16)^2)</f>
        <v>5.91607978309962</v>
      </c>
      <c r="BA18" s="6" t="n">
        <f aca="false">SQRT((H18-'MLB Archetypes'!$C$17)^2+(I18-'MLB Archetypes'!$D$17)^2+(J18-'MLB Archetypes'!$E$17)^2+(K18-'MLB Archetypes'!$F$17)^2)</f>
        <v>4.12310562561766</v>
      </c>
      <c r="BB18" s="6" t="n">
        <f aca="false">SQRT((H18-'MLB Archetypes'!$C$18)^2+(I18-'MLB Archetypes'!$D$18)^2+(J18-'MLB Archetypes'!$E$18)^2+(K18-'MLB Archetypes'!$F$18)^2)</f>
        <v>7.21110255092798</v>
      </c>
      <c r="BC18" s="6" t="n">
        <f aca="false">SQRT((H18-'MLB Archetypes'!$C$19)^2+(I18-'MLB Archetypes'!$D$19)^2+(J18-'MLB Archetypes'!$E$19)^2+(K18-'MLB Archetypes'!$F$19)^2)</f>
        <v>5.3851648071345</v>
      </c>
      <c r="BD18" s="4" t="str">
        <f aca="false">INDEX('MLB Archetypes'!$B$2:$B$19,MATCH(MIN(AL18:BC18),AL18:BC18,0))</f>
        <v>Jackie Robinson</v>
      </c>
      <c r="BE18" s="7" t="n">
        <f aca="false">ROUND(10-MIN(AL18:BC18)/1.8,1)</f>
        <v>8.2</v>
      </c>
    </row>
    <row r="19" customFormat="false" ht="15" hidden="false" customHeight="false" outlineLevel="0" collapsed="false">
      <c r="A19" s="2" t="s">
        <v>81</v>
      </c>
      <c r="B19" s="2" t="s">
        <v>49</v>
      </c>
      <c r="C19" s="2" t="s">
        <v>48</v>
      </c>
      <c r="D19" s="2" t="s">
        <v>50</v>
      </c>
      <c r="E19" s="2" t="s">
        <v>50</v>
      </c>
      <c r="F19" s="2" t="s">
        <v>52</v>
      </c>
      <c r="G19" s="2" t="s">
        <v>52</v>
      </c>
      <c r="H19" s="3" t="n">
        <v>5</v>
      </c>
      <c r="I19" s="3" t="n">
        <v>3</v>
      </c>
      <c r="J19" s="3" t="n">
        <v>4</v>
      </c>
      <c r="K19" s="3" t="n">
        <v>8</v>
      </c>
      <c r="L19" s="4" t="n">
        <f aca="false">H19+I19+J19+K19</f>
        <v>20</v>
      </c>
      <c r="M19" s="4" t="n">
        <f aca="false">ROUND(0.75*I19+0.25*K19,2)</f>
        <v>4.25</v>
      </c>
      <c r="N19" s="4" t="n">
        <f aca="false">ROUND(0.7*J19+0.3*K19,2)</f>
        <v>5.2</v>
      </c>
      <c r="O19" s="4" t="n">
        <f aca="false">ROUND((H19+J19+K19)/3,2)</f>
        <v>5.67</v>
      </c>
      <c r="P19" s="4" t="n">
        <f aca="false">ROUND(0.85*H19+0.15*J19,2)</f>
        <v>4.85</v>
      </c>
      <c r="Q19" s="4" t="n">
        <f aca="false">ROUND(0.6*J19+0.3*I19+0.1*H19,2)</f>
        <v>3.8</v>
      </c>
      <c r="R19" s="4" t="n">
        <f aca="false">ROUND(0.7*I19+0.2*J19+0.1*K19,2)</f>
        <v>3.7</v>
      </c>
      <c r="S19" s="4" t="n">
        <f aca="false">ROUND(0.13*I19+0.35*J19+0.52*K19,2)</f>
        <v>5.95</v>
      </c>
      <c r="T19" s="4" t="n">
        <f aca="false">ROUND(0.4*I19+0.5*J19+0.1*K19,2)</f>
        <v>4</v>
      </c>
      <c r="U19" s="4" t="n">
        <f aca="false">ROUND(0.1*I19+0.55*J19+0.35*K19,2)</f>
        <v>5.3</v>
      </c>
      <c r="V19" s="4" t="n">
        <f aca="false">ROUND(0.6*I19+0.1*J19+0.3*K19,2)</f>
        <v>4.6</v>
      </c>
      <c r="W19" s="4" t="n">
        <f aca="false">ROUND(0.15*I19+0.3*J19+0.55*K19,2)</f>
        <v>6.05</v>
      </c>
      <c r="X19" s="4" t="n">
        <f aca="false">ROUND(0.46*I19+0.46*J19+0.08*K19,2)</f>
        <v>3.86</v>
      </c>
      <c r="Y19" s="4" t="str">
        <f aca="false">IF(H19=MAX(H19:K19),"Pitcher (arm-first)",IF(I19=MAX(H19:K19),"Bat-first (corner/1B/DH)",IF(J19=MAX(H19:K19),"Defense-first (up-the-middle)","Speed-first (CF/leadoff)")))</f>
        <v>Speed-first (CF/leadoff)</v>
      </c>
      <c r="Z19" s="5" t="n">
        <f aca="false">P19</f>
        <v>4.85</v>
      </c>
      <c r="AA19" s="5" t="n">
        <f aca="false">IF(F19="Right",Q19,-1)</f>
        <v>3.8</v>
      </c>
      <c r="AB19" s="5" t="n">
        <f aca="false">R19</f>
        <v>3.7</v>
      </c>
      <c r="AC19" s="5" t="n">
        <f aca="false">IF(F19="Right",S19,-1)</f>
        <v>5.95</v>
      </c>
      <c r="AD19" s="5" t="n">
        <f aca="false">IF(F19="Right",T19,-1)</f>
        <v>4</v>
      </c>
      <c r="AE19" s="5" t="n">
        <f aca="false">IF(F19="Right",U19,-1)</f>
        <v>5.3</v>
      </c>
      <c r="AF19" s="5" t="n">
        <f aca="false">V19</f>
        <v>4.6</v>
      </c>
      <c r="AG19" s="5" t="n">
        <f aca="false">W19</f>
        <v>6.05</v>
      </c>
      <c r="AH19" s="5" t="n">
        <f aca="false">X19</f>
        <v>3.86</v>
      </c>
      <c r="AI19" s="4" t="str">
        <f aca="false">INDEX($Z$1:$AH$1,MATCH(MAX(Z19:AH19),Z19:AH19,0))</f>
        <v>CF</v>
      </c>
      <c r="AJ19" s="4" t="n">
        <f aca="false">MAX(Z19:AH19)</f>
        <v>6.05</v>
      </c>
      <c r="AK19" s="4" t="n">
        <f aca="false">SUMPRODUCT(($AI$2:$AI$73=AI19)*($AJ$2:$AJ$73&gt;AJ19))+SUMPRODUCT(($AI$2:$AI$73=AI19)*($AJ$2:$AJ$73=AJ19)*(ROW($AI$2:$AI$73)&lt;ROW(AI19)))+1</f>
        <v>5</v>
      </c>
      <c r="AL19" s="6" t="n">
        <f aca="false">SQRT((H19-'MLB Archetypes'!$C$2)^2+(I19-'MLB Archetypes'!$D$2)^2+(J19-'MLB Archetypes'!$E$2)^2+(K19-'MLB Archetypes'!$F$2)^2)</f>
        <v>7.21110255092798</v>
      </c>
      <c r="AM19" s="6" t="n">
        <f aca="false">SQRT((H19-'MLB Archetypes'!$C$3)^2+(I19-'MLB Archetypes'!$D$3)^2+(J19-'MLB Archetypes'!$E$3)^2+(K19-'MLB Archetypes'!$F$3)^2)</f>
        <v>6.70820393249937</v>
      </c>
      <c r="AN19" s="6" t="n">
        <f aca="false">SQRT((H19-'MLB Archetypes'!$C$4)^2+(I19-'MLB Archetypes'!$D$4)^2+(J19-'MLB Archetypes'!$E$4)^2+(K19-'MLB Archetypes'!$F$4)^2)</f>
        <v>8.66025403784439</v>
      </c>
      <c r="AO19" s="6" t="n">
        <f aca="false">SQRT((H19-'MLB Archetypes'!$C$5)^2+(I19-'MLB Archetypes'!$D$5)^2+(J19-'MLB Archetypes'!$E$5)^2+(K19-'MLB Archetypes'!$F$5)^2)</f>
        <v>7.07106781186548</v>
      </c>
      <c r="AP19" s="6" t="n">
        <f aca="false">SQRT((H19-'MLB Archetypes'!$C$6)^2+(I19-'MLB Archetypes'!$D$6)^2+(J19-'MLB Archetypes'!$E$6)^2+(K19-'MLB Archetypes'!$F$6)^2)</f>
        <v>8.60232526704263</v>
      </c>
      <c r="AQ19" s="6" t="n">
        <f aca="false">SQRT((H19-'MLB Archetypes'!$C$7)^2+(I19-'MLB Archetypes'!$D$7)^2+(J19-'MLB Archetypes'!$E$7)^2+(K19-'MLB Archetypes'!$F$7)^2)</f>
        <v>7.68114574786861</v>
      </c>
      <c r="AR19" s="6" t="n">
        <f aca="false">SQRT((H19-'MLB Archetypes'!$C$8)^2+(I19-'MLB Archetypes'!$D$8)^2+(J19-'MLB Archetypes'!$E$8)^2+(K19-'MLB Archetypes'!$F$8)^2)</f>
        <v>5.19615242270663</v>
      </c>
      <c r="AS19" s="6" t="n">
        <f aca="false">SQRT((H19-'MLB Archetypes'!$C$9)^2+(I19-'MLB Archetypes'!$D$9)^2+(J19-'MLB Archetypes'!$E$9)^2+(K19-'MLB Archetypes'!$F$9)^2)</f>
        <v>6.70820393249937</v>
      </c>
      <c r="AT19" s="6" t="n">
        <f aca="false">SQRT((H19-'MLB Archetypes'!$C$10)^2+(I19-'MLB Archetypes'!$D$10)^2+(J19-'MLB Archetypes'!$E$10)^2+(K19-'MLB Archetypes'!$F$10)^2)</f>
        <v>8.12403840463596</v>
      </c>
      <c r="AU19" s="6" t="n">
        <f aca="false">SQRT((H19-'MLB Archetypes'!$C$11)^2+(I19-'MLB Archetypes'!$D$11)^2+(J19-'MLB Archetypes'!$E$11)^2+(K19-'MLB Archetypes'!$F$11)^2)</f>
        <v>8.06225774829855</v>
      </c>
      <c r="AV19" s="6" t="n">
        <f aca="false">SQRT((H19-'MLB Archetypes'!$C$12)^2+(I19-'MLB Archetypes'!$D$12)^2+(J19-'MLB Archetypes'!$E$12)^2+(K19-'MLB Archetypes'!$F$12)^2)</f>
        <v>6.78232998312527</v>
      </c>
      <c r="AW19" s="6" t="n">
        <f aca="false">SQRT((H19-'MLB Archetypes'!$C$13)^2+(I19-'MLB Archetypes'!$D$13)^2+(J19-'MLB Archetypes'!$E$13)^2+(K19-'MLB Archetypes'!$F$13)^2)</f>
        <v>7.68114574786861</v>
      </c>
      <c r="AX19" s="6" t="n">
        <f aca="false">SQRT((H19-'MLB Archetypes'!$C$14)^2+(I19-'MLB Archetypes'!$D$14)^2+(J19-'MLB Archetypes'!$E$14)^2+(K19-'MLB Archetypes'!$F$14)^2)</f>
        <v>7.61577310586391</v>
      </c>
      <c r="AY19" s="6" t="n">
        <f aca="false">SQRT((H19-'MLB Archetypes'!$C$15)^2+(I19-'MLB Archetypes'!$D$15)^2+(J19-'MLB Archetypes'!$E$15)^2+(K19-'MLB Archetypes'!$F$15)^2)</f>
        <v>4.79583152331272</v>
      </c>
      <c r="AZ19" s="6" t="n">
        <f aca="false">SQRT((H19-'MLB Archetypes'!$C$16)^2+(I19-'MLB Archetypes'!$D$16)^2+(J19-'MLB Archetypes'!$E$16)^2+(K19-'MLB Archetypes'!$F$16)^2)</f>
        <v>7.68114574786861</v>
      </c>
      <c r="BA19" s="6" t="n">
        <f aca="false">SQRT((H19-'MLB Archetypes'!$C$17)^2+(I19-'MLB Archetypes'!$D$17)^2+(J19-'MLB Archetypes'!$E$17)^2+(K19-'MLB Archetypes'!$F$17)^2)</f>
        <v>5.91607978309962</v>
      </c>
      <c r="BB19" s="6" t="n">
        <f aca="false">SQRT((H19-'MLB Archetypes'!$C$18)^2+(I19-'MLB Archetypes'!$D$18)^2+(J19-'MLB Archetypes'!$E$18)^2+(K19-'MLB Archetypes'!$F$18)^2)</f>
        <v>7.61577310586391</v>
      </c>
      <c r="BC19" s="6" t="n">
        <f aca="false">SQRT((H19-'MLB Archetypes'!$C$19)^2+(I19-'MLB Archetypes'!$D$19)^2+(J19-'MLB Archetypes'!$E$19)^2+(K19-'MLB Archetypes'!$F$19)^2)</f>
        <v>6.70820393249937</v>
      </c>
      <c r="BD19" s="4" t="str">
        <f aca="false">INDEX('MLB Archetypes'!$B$2:$B$19,MATCH(MIN(AL19:BC19),AL19:BC19,0))</f>
        <v>Rickey Henderson</v>
      </c>
      <c r="BE19" s="7" t="n">
        <f aca="false">ROUND(10-MIN(AL19:BC19)/1.8,1)</f>
        <v>7.3</v>
      </c>
    </row>
    <row r="20" customFormat="false" ht="15" hidden="false" customHeight="false" outlineLevel="0" collapsed="false">
      <c r="A20" s="2" t="s">
        <v>82</v>
      </c>
      <c r="B20" s="2" t="s">
        <v>54</v>
      </c>
      <c r="C20" s="2" t="s">
        <v>53</v>
      </c>
      <c r="D20" s="2" t="s">
        <v>50</v>
      </c>
      <c r="E20" s="2" t="s">
        <v>50</v>
      </c>
      <c r="F20" s="2" t="s">
        <v>52</v>
      </c>
      <c r="G20" s="2" t="s">
        <v>52</v>
      </c>
      <c r="H20" s="3" t="n">
        <v>8</v>
      </c>
      <c r="I20" s="3" t="n">
        <v>2</v>
      </c>
      <c r="J20" s="3" t="n">
        <v>5</v>
      </c>
      <c r="K20" s="3" t="n">
        <v>6</v>
      </c>
      <c r="L20" s="4" t="n">
        <f aca="false">H20+I20+J20+K20</f>
        <v>21</v>
      </c>
      <c r="M20" s="4" t="n">
        <f aca="false">ROUND(0.75*I20+0.25*K20,2)</f>
        <v>3</v>
      </c>
      <c r="N20" s="4" t="n">
        <f aca="false">ROUND(0.7*J20+0.3*K20,2)</f>
        <v>5.3</v>
      </c>
      <c r="O20" s="4" t="n">
        <f aca="false">ROUND((H20+J20+K20)/3,2)</f>
        <v>6.33</v>
      </c>
      <c r="P20" s="4" t="n">
        <f aca="false">ROUND(0.85*H20+0.15*J20,2)</f>
        <v>7.55</v>
      </c>
      <c r="Q20" s="4" t="n">
        <f aca="false">ROUND(0.6*J20+0.3*I20+0.1*H20,2)</f>
        <v>4.4</v>
      </c>
      <c r="R20" s="4" t="n">
        <f aca="false">ROUND(0.7*I20+0.2*J20+0.1*K20,2)</f>
        <v>3</v>
      </c>
      <c r="S20" s="4" t="n">
        <f aca="false">ROUND(0.13*I20+0.35*J20+0.52*K20,2)</f>
        <v>5.13</v>
      </c>
      <c r="T20" s="4" t="n">
        <f aca="false">ROUND(0.4*I20+0.5*J20+0.1*K20,2)</f>
        <v>3.9</v>
      </c>
      <c r="U20" s="4" t="n">
        <f aca="false">ROUND(0.1*I20+0.55*J20+0.35*K20,2)</f>
        <v>5.05</v>
      </c>
      <c r="V20" s="4" t="n">
        <f aca="false">ROUND(0.6*I20+0.1*J20+0.3*K20,2)</f>
        <v>3.5</v>
      </c>
      <c r="W20" s="4" t="n">
        <f aca="false">ROUND(0.15*I20+0.3*J20+0.55*K20,2)</f>
        <v>5.1</v>
      </c>
      <c r="X20" s="4" t="n">
        <f aca="false">ROUND(0.46*I20+0.46*J20+0.08*K20,2)</f>
        <v>3.7</v>
      </c>
      <c r="Y20" s="4" t="str">
        <f aca="false">IF(H20=MAX(H20:K20),"Pitcher (arm-first)",IF(I20=MAX(H20:K20),"Bat-first (corner/1B/DH)",IF(J20=MAX(H20:K20),"Defense-first (up-the-middle)","Speed-first (CF/leadoff)")))</f>
        <v>Pitcher (arm-first)</v>
      </c>
      <c r="Z20" s="5" t="n">
        <f aca="false">P20</f>
        <v>7.55</v>
      </c>
      <c r="AA20" s="5" t="n">
        <f aca="false">IF(F20="Right",Q20,-1)</f>
        <v>4.4</v>
      </c>
      <c r="AB20" s="5" t="n">
        <f aca="false">R20</f>
        <v>3</v>
      </c>
      <c r="AC20" s="5" t="n">
        <f aca="false">IF(F20="Right",S20,-1)</f>
        <v>5.13</v>
      </c>
      <c r="AD20" s="5" t="n">
        <f aca="false">IF(F20="Right",T20,-1)</f>
        <v>3.9</v>
      </c>
      <c r="AE20" s="5" t="n">
        <f aca="false">IF(F20="Right",U20,-1)</f>
        <v>5.05</v>
      </c>
      <c r="AF20" s="5" t="n">
        <f aca="false">V20</f>
        <v>3.5</v>
      </c>
      <c r="AG20" s="5" t="n">
        <f aca="false">W20</f>
        <v>5.1</v>
      </c>
      <c r="AH20" s="5" t="n">
        <f aca="false">X20</f>
        <v>3.7</v>
      </c>
      <c r="AI20" s="4" t="str">
        <f aca="false">INDEX($Z$1:$AH$1,MATCH(MAX(Z20:AH20),Z20:AH20,0))</f>
        <v>P</v>
      </c>
      <c r="AJ20" s="4" t="n">
        <f aca="false">MAX(Z20:AH20)</f>
        <v>7.55</v>
      </c>
      <c r="AK20" s="4" t="n">
        <f aca="false">SUMPRODUCT(($AI$2:$AI$73=AI20)*($AJ$2:$AJ$73&gt;AJ20))+SUMPRODUCT(($AI$2:$AI$73=AI20)*($AJ$2:$AJ$73=AJ20)*(ROW($AI$2:$AI$73)&lt;ROW(AI20)))+1</f>
        <v>6</v>
      </c>
      <c r="AL20" s="6" t="n">
        <f aca="false">SQRT((H20-'MLB Archetypes'!$C$2)^2+(I20-'MLB Archetypes'!$D$2)^2+(J20-'MLB Archetypes'!$E$2)^2+(K20-'MLB Archetypes'!$F$2)^2)</f>
        <v>3.60555127546399</v>
      </c>
      <c r="AM20" s="6" t="n">
        <f aca="false">SQRT((H20-'MLB Archetypes'!$C$3)^2+(I20-'MLB Archetypes'!$D$3)^2+(J20-'MLB Archetypes'!$E$3)^2+(K20-'MLB Archetypes'!$F$3)^2)</f>
        <v>3.46410161513775</v>
      </c>
      <c r="AN20" s="6" t="n">
        <f aca="false">SQRT((H20-'MLB Archetypes'!$C$4)^2+(I20-'MLB Archetypes'!$D$4)^2+(J20-'MLB Archetypes'!$E$4)^2+(K20-'MLB Archetypes'!$F$4)^2)</f>
        <v>9.2736184954957</v>
      </c>
      <c r="AO20" s="6" t="n">
        <f aca="false">SQRT((H20-'MLB Archetypes'!$C$5)^2+(I20-'MLB Archetypes'!$D$5)^2+(J20-'MLB Archetypes'!$E$5)^2+(K20-'MLB Archetypes'!$F$5)^2)</f>
        <v>8.06225774829855</v>
      </c>
      <c r="AP20" s="6" t="n">
        <f aca="false">SQRT((H20-'MLB Archetypes'!$C$6)^2+(I20-'MLB Archetypes'!$D$6)^2+(J20-'MLB Archetypes'!$E$6)^2+(K20-'MLB Archetypes'!$F$6)^2)</f>
        <v>9.74679434480896</v>
      </c>
      <c r="AQ20" s="6" t="n">
        <f aca="false">SQRT((H20-'MLB Archetypes'!$C$7)^2+(I20-'MLB Archetypes'!$D$7)^2+(J20-'MLB Archetypes'!$E$7)^2+(K20-'MLB Archetypes'!$F$7)^2)</f>
        <v>8.48528137423857</v>
      </c>
      <c r="AR20" s="6" t="n">
        <f aca="false">SQRT((H20-'MLB Archetypes'!$C$8)^2+(I20-'MLB Archetypes'!$D$8)^2+(J20-'MLB Archetypes'!$E$8)^2+(K20-'MLB Archetypes'!$F$8)^2)</f>
        <v>7.74596669241483</v>
      </c>
      <c r="AS20" s="6" t="n">
        <f aca="false">SQRT((H20-'MLB Archetypes'!$C$9)^2+(I20-'MLB Archetypes'!$D$9)^2+(J20-'MLB Archetypes'!$E$9)^2+(K20-'MLB Archetypes'!$F$9)^2)</f>
        <v>8.36660026534076</v>
      </c>
      <c r="AT20" s="6" t="n">
        <f aca="false">SQRT((H20-'MLB Archetypes'!$C$10)^2+(I20-'MLB Archetypes'!$D$10)^2+(J20-'MLB Archetypes'!$E$10)^2+(K20-'MLB Archetypes'!$F$10)^2)</f>
        <v>9.21954445729289</v>
      </c>
      <c r="AU20" s="6" t="n">
        <f aca="false">SQRT((H20-'MLB Archetypes'!$C$11)^2+(I20-'MLB Archetypes'!$D$11)^2+(J20-'MLB Archetypes'!$E$11)^2+(K20-'MLB Archetypes'!$F$11)^2)</f>
        <v>9.48683298050514</v>
      </c>
      <c r="AV20" s="6" t="n">
        <f aca="false">SQRT((H20-'MLB Archetypes'!$C$12)^2+(I20-'MLB Archetypes'!$D$12)^2+(J20-'MLB Archetypes'!$E$12)^2+(K20-'MLB Archetypes'!$F$12)^2)</f>
        <v>7.93725393319377</v>
      </c>
      <c r="AW20" s="6" t="n">
        <f aca="false">SQRT((H20-'MLB Archetypes'!$C$13)^2+(I20-'MLB Archetypes'!$D$13)^2+(J20-'MLB Archetypes'!$E$13)^2+(K20-'MLB Archetypes'!$F$13)^2)</f>
        <v>8.60232526704263</v>
      </c>
      <c r="AX20" s="6" t="n">
        <f aca="false">SQRT((H20-'MLB Archetypes'!$C$14)^2+(I20-'MLB Archetypes'!$D$14)^2+(J20-'MLB Archetypes'!$E$14)^2+(K20-'MLB Archetypes'!$F$14)^2)</f>
        <v>9.32737905308882</v>
      </c>
      <c r="AY20" s="6" t="n">
        <f aca="false">SQRT((H20-'MLB Archetypes'!$C$15)^2+(I20-'MLB Archetypes'!$D$15)^2+(J20-'MLB Archetypes'!$E$15)^2+(K20-'MLB Archetypes'!$F$15)^2)</f>
        <v>8.24621125123532</v>
      </c>
      <c r="AZ20" s="6" t="n">
        <f aca="false">SQRT((H20-'MLB Archetypes'!$C$16)^2+(I20-'MLB Archetypes'!$D$16)^2+(J20-'MLB Archetypes'!$E$16)^2+(K20-'MLB Archetypes'!$F$16)^2)</f>
        <v>9.59166304662544</v>
      </c>
      <c r="BA20" s="6" t="n">
        <f aca="false">SQRT((H20-'MLB Archetypes'!$C$17)^2+(I20-'MLB Archetypes'!$D$17)^2+(J20-'MLB Archetypes'!$E$17)^2+(K20-'MLB Archetypes'!$F$17)^2)</f>
        <v>8.60232526704263</v>
      </c>
      <c r="BB20" s="6" t="n">
        <f aca="false">SQRT((H20-'MLB Archetypes'!$C$18)^2+(I20-'MLB Archetypes'!$D$18)^2+(J20-'MLB Archetypes'!$E$18)^2+(K20-'MLB Archetypes'!$F$18)^2)</f>
        <v>9.32737905308882</v>
      </c>
      <c r="BC20" s="6" t="n">
        <f aca="false">SQRT((H20-'MLB Archetypes'!$C$19)^2+(I20-'MLB Archetypes'!$D$19)^2+(J20-'MLB Archetypes'!$E$19)^2+(K20-'MLB Archetypes'!$F$19)^2)</f>
        <v>8.36660026534076</v>
      </c>
      <c r="BD20" s="4" t="str">
        <f aca="false">INDEX('MLB Archetypes'!$B$2:$B$19,MATCH(MIN(AL20:BC20),AL20:BC20,0))</f>
        <v>Greg Maddux</v>
      </c>
      <c r="BE20" s="7" t="n">
        <f aca="false">ROUND(10-MIN(AL20:BC20)/1.8,1)</f>
        <v>8.1</v>
      </c>
    </row>
    <row r="21" customFormat="false" ht="15" hidden="false" customHeight="false" outlineLevel="0" collapsed="false">
      <c r="A21" s="2" t="s">
        <v>83</v>
      </c>
      <c r="B21" s="2" t="s">
        <v>61</v>
      </c>
      <c r="C21" s="2" t="s">
        <v>60</v>
      </c>
      <c r="D21" s="2" t="s">
        <v>50</v>
      </c>
      <c r="E21" s="2" t="s">
        <v>50</v>
      </c>
      <c r="F21" s="2" t="s">
        <v>52</v>
      </c>
      <c r="G21" s="2" t="s">
        <v>57</v>
      </c>
      <c r="H21" s="3" t="n">
        <v>3</v>
      </c>
      <c r="I21" s="3" t="n">
        <v>6</v>
      </c>
      <c r="J21" s="3" t="n">
        <v>8</v>
      </c>
      <c r="K21" s="3" t="n">
        <v>4</v>
      </c>
      <c r="L21" s="4" t="n">
        <f aca="false">H21+I21+J21+K21</f>
        <v>21</v>
      </c>
      <c r="M21" s="4" t="n">
        <f aca="false">ROUND(0.75*I21+0.25*K21,2)</f>
        <v>5.5</v>
      </c>
      <c r="N21" s="4" t="n">
        <f aca="false">ROUND(0.7*J21+0.3*K21,2)</f>
        <v>6.8</v>
      </c>
      <c r="O21" s="4" t="n">
        <f aca="false">ROUND((H21+J21+K21)/3,2)</f>
        <v>5</v>
      </c>
      <c r="P21" s="4" t="n">
        <f aca="false">ROUND(0.85*H21+0.15*J21,2)</f>
        <v>3.75</v>
      </c>
      <c r="Q21" s="4" t="n">
        <f aca="false">ROUND(0.6*J21+0.3*I21+0.1*H21,2)</f>
        <v>6.9</v>
      </c>
      <c r="R21" s="4" t="n">
        <f aca="false">ROUND(0.7*I21+0.2*J21+0.1*K21,2)</f>
        <v>6.2</v>
      </c>
      <c r="S21" s="4" t="n">
        <f aca="false">ROUND(0.13*I21+0.35*J21+0.52*K21,2)</f>
        <v>5.66</v>
      </c>
      <c r="T21" s="4" t="n">
        <f aca="false">ROUND(0.4*I21+0.5*J21+0.1*K21,2)</f>
        <v>6.8</v>
      </c>
      <c r="U21" s="4" t="n">
        <f aca="false">ROUND(0.1*I21+0.55*J21+0.35*K21,2)</f>
        <v>6.4</v>
      </c>
      <c r="V21" s="4" t="n">
        <f aca="false">ROUND(0.6*I21+0.1*J21+0.3*K21,2)</f>
        <v>5.6</v>
      </c>
      <c r="W21" s="4" t="n">
        <f aca="false">ROUND(0.15*I21+0.3*J21+0.55*K21,2)</f>
        <v>5.5</v>
      </c>
      <c r="X21" s="4" t="n">
        <f aca="false">ROUND(0.46*I21+0.46*J21+0.08*K21,2)</f>
        <v>6.76</v>
      </c>
      <c r="Y21" s="4" t="str">
        <f aca="false">IF(H21=MAX(H21:K21),"Pitcher (arm-first)",IF(I21=MAX(H21:K21),"Bat-first (corner/1B/DH)",IF(J21=MAX(H21:K21),"Defense-first (up-the-middle)","Speed-first (CF/leadoff)")))</f>
        <v>Defense-first (up-the-middle)</v>
      </c>
      <c r="Z21" s="5" t="n">
        <f aca="false">P21</f>
        <v>3.75</v>
      </c>
      <c r="AA21" s="5" t="n">
        <f aca="false">IF(F21="Right",Q21,-1)</f>
        <v>6.9</v>
      </c>
      <c r="AB21" s="5" t="n">
        <f aca="false">R21</f>
        <v>6.2</v>
      </c>
      <c r="AC21" s="5" t="n">
        <f aca="false">IF(F21="Right",S21,-1)</f>
        <v>5.66</v>
      </c>
      <c r="AD21" s="5" t="n">
        <f aca="false">IF(F21="Right",T21,-1)</f>
        <v>6.8</v>
      </c>
      <c r="AE21" s="5" t="n">
        <f aca="false">IF(F21="Right",U21,-1)</f>
        <v>6.4</v>
      </c>
      <c r="AF21" s="5" t="n">
        <f aca="false">V21</f>
        <v>5.6</v>
      </c>
      <c r="AG21" s="5" t="n">
        <f aca="false">W21</f>
        <v>5.5</v>
      </c>
      <c r="AH21" s="5" t="n">
        <f aca="false">X21</f>
        <v>6.76</v>
      </c>
      <c r="AI21" s="4" t="str">
        <f aca="false">INDEX($Z$1:$AH$1,MATCH(MAX(Z21:AH21),Z21:AH21,0))</f>
        <v>C</v>
      </c>
      <c r="AJ21" s="4" t="n">
        <f aca="false">MAX(Z21:AH21)</f>
        <v>6.9</v>
      </c>
      <c r="AK21" s="4" t="n">
        <f aca="false">SUMPRODUCT(($AI$2:$AI$73=AI21)*($AJ$2:$AJ$73&gt;AJ21))+SUMPRODUCT(($AI$2:$AI$73=AI21)*($AJ$2:$AJ$73=AJ21)*(ROW($AI$2:$AI$73)&lt;ROW(AI21)))+1</f>
        <v>2</v>
      </c>
      <c r="AL21" s="6" t="n">
        <f aca="false">SQRT((H21-'MLB Archetypes'!$C$2)^2+(I21-'MLB Archetypes'!$D$2)^2+(J21-'MLB Archetypes'!$E$2)^2+(K21-'MLB Archetypes'!$F$2)^2)</f>
        <v>8.66025403784439</v>
      </c>
      <c r="AM21" s="6" t="n">
        <f aca="false">SQRT((H21-'MLB Archetypes'!$C$3)^2+(I21-'MLB Archetypes'!$D$3)^2+(J21-'MLB Archetypes'!$E$3)^2+(K21-'MLB Archetypes'!$F$3)^2)</f>
        <v>7.07106781186548</v>
      </c>
      <c r="AN21" s="6" t="n">
        <f aca="false">SQRT((H21-'MLB Archetypes'!$C$4)^2+(I21-'MLB Archetypes'!$D$4)^2+(J21-'MLB Archetypes'!$E$4)^2+(K21-'MLB Archetypes'!$F$4)^2)</f>
        <v>2</v>
      </c>
      <c r="AO21" s="6" t="n">
        <f aca="false">SQRT((H21-'MLB Archetypes'!$C$5)^2+(I21-'MLB Archetypes'!$D$5)^2+(J21-'MLB Archetypes'!$E$5)^2+(K21-'MLB Archetypes'!$F$5)^2)</f>
        <v>1</v>
      </c>
      <c r="AP21" s="6" t="n">
        <f aca="false">SQRT((H21-'MLB Archetypes'!$C$6)^2+(I21-'MLB Archetypes'!$D$6)^2+(J21-'MLB Archetypes'!$E$6)^2+(K21-'MLB Archetypes'!$F$6)^2)</f>
        <v>3.87298334620742</v>
      </c>
      <c r="AQ21" s="6" t="n">
        <f aca="false">SQRT((H21-'MLB Archetypes'!$C$7)^2+(I21-'MLB Archetypes'!$D$7)^2+(J21-'MLB Archetypes'!$E$7)^2+(K21-'MLB Archetypes'!$F$7)^2)</f>
        <v>1.4142135623731</v>
      </c>
      <c r="AR21" s="6" t="n">
        <f aca="false">SQRT((H21-'MLB Archetypes'!$C$8)^2+(I21-'MLB Archetypes'!$D$8)^2+(J21-'MLB Archetypes'!$E$8)^2+(K21-'MLB Archetypes'!$F$8)^2)</f>
        <v>4.24264068711929</v>
      </c>
      <c r="AS21" s="6" t="n">
        <f aca="false">SQRT((H21-'MLB Archetypes'!$C$9)^2+(I21-'MLB Archetypes'!$D$9)^2+(J21-'MLB Archetypes'!$E$9)^2+(K21-'MLB Archetypes'!$F$9)^2)</f>
        <v>2.44948974278318</v>
      </c>
      <c r="AT21" s="6" t="n">
        <f aca="false">SQRT((H21-'MLB Archetypes'!$C$10)^2+(I21-'MLB Archetypes'!$D$10)^2+(J21-'MLB Archetypes'!$E$10)^2+(K21-'MLB Archetypes'!$F$10)^2)</f>
        <v>2.23606797749979</v>
      </c>
      <c r="AU21" s="6" t="n">
        <f aca="false">SQRT((H21-'MLB Archetypes'!$C$11)^2+(I21-'MLB Archetypes'!$D$11)^2+(J21-'MLB Archetypes'!$E$11)^2+(K21-'MLB Archetypes'!$F$11)^2)</f>
        <v>3.74165738677394</v>
      </c>
      <c r="AV21" s="6" t="n">
        <f aca="false">SQRT((H21-'MLB Archetypes'!$C$12)^2+(I21-'MLB Archetypes'!$D$12)^2+(J21-'MLB Archetypes'!$E$12)^2+(K21-'MLB Archetypes'!$F$12)^2)</f>
        <v>4.79583152331272</v>
      </c>
      <c r="AW21" s="6" t="n">
        <f aca="false">SQRT((H21-'MLB Archetypes'!$C$13)^2+(I21-'MLB Archetypes'!$D$13)^2+(J21-'MLB Archetypes'!$E$13)^2+(K21-'MLB Archetypes'!$F$13)^2)</f>
        <v>2</v>
      </c>
      <c r="AX21" s="6" t="n">
        <f aca="false">SQRT((H21-'MLB Archetypes'!$C$14)^2+(I21-'MLB Archetypes'!$D$14)^2+(J21-'MLB Archetypes'!$E$14)^2+(K21-'MLB Archetypes'!$F$14)^2)</f>
        <v>3.87298334620742</v>
      </c>
      <c r="AY21" s="6" t="n">
        <f aca="false">SQRT((H21-'MLB Archetypes'!$C$15)^2+(I21-'MLB Archetypes'!$D$15)^2+(J21-'MLB Archetypes'!$E$15)^2+(K21-'MLB Archetypes'!$F$15)^2)</f>
        <v>6.78232998312527</v>
      </c>
      <c r="AZ21" s="6" t="n">
        <f aca="false">SQRT((H21-'MLB Archetypes'!$C$16)^2+(I21-'MLB Archetypes'!$D$16)^2+(J21-'MLB Archetypes'!$E$16)^2+(K21-'MLB Archetypes'!$F$16)^2)</f>
        <v>4.69041575982343</v>
      </c>
      <c r="BA21" s="6" t="n">
        <f aca="false">SQRT((H21-'MLB Archetypes'!$C$17)^2+(I21-'MLB Archetypes'!$D$17)^2+(J21-'MLB Archetypes'!$E$17)^2+(K21-'MLB Archetypes'!$F$17)^2)</f>
        <v>5.29150262212918</v>
      </c>
      <c r="BB21" s="6" t="n">
        <f aca="false">SQRT((H21-'MLB Archetypes'!$C$18)^2+(I21-'MLB Archetypes'!$D$18)^2+(J21-'MLB Archetypes'!$E$18)^2+(K21-'MLB Archetypes'!$F$18)^2)</f>
        <v>3.87298334620742</v>
      </c>
      <c r="BC21" s="6" t="n">
        <f aca="false">SQRT((H21-'MLB Archetypes'!$C$19)^2+(I21-'MLB Archetypes'!$D$19)^2+(J21-'MLB Archetypes'!$E$19)^2+(K21-'MLB Archetypes'!$F$19)^2)</f>
        <v>2.44948974278318</v>
      </c>
      <c r="BD21" s="4" t="str">
        <f aca="false">INDEX('MLB Archetypes'!$B$2:$B$19,MATCH(MIN(AL21:BC21),AL21:BC21,0))</f>
        <v>Ivan Rodriguez</v>
      </c>
      <c r="BE21" s="7" t="n">
        <f aca="false">ROUND(10-MIN(AL21:BC21)/1.8,1)</f>
        <v>9.4</v>
      </c>
    </row>
    <row r="22" customFormat="false" ht="15" hidden="false" customHeight="false" outlineLevel="0" collapsed="false">
      <c r="A22" s="2" t="s">
        <v>84</v>
      </c>
      <c r="B22" s="2" t="s">
        <v>49</v>
      </c>
      <c r="C22" s="2" t="s">
        <v>64</v>
      </c>
      <c r="D22" s="2" t="s">
        <v>50</v>
      </c>
      <c r="E22" s="2" t="s">
        <v>50</v>
      </c>
      <c r="F22" s="2" t="s">
        <v>52</v>
      </c>
      <c r="G22" s="2" t="s">
        <v>57</v>
      </c>
      <c r="H22" s="3" t="n">
        <v>5</v>
      </c>
      <c r="I22" s="3" t="n">
        <v>2</v>
      </c>
      <c r="J22" s="3" t="n">
        <v>5</v>
      </c>
      <c r="K22" s="3" t="n">
        <v>8</v>
      </c>
      <c r="L22" s="4" t="n">
        <f aca="false">H22+I22+J22+K22</f>
        <v>20</v>
      </c>
      <c r="M22" s="4" t="n">
        <f aca="false">ROUND(0.75*I22+0.25*K22,2)</f>
        <v>3.5</v>
      </c>
      <c r="N22" s="4" t="n">
        <f aca="false">ROUND(0.7*J22+0.3*K22,2)</f>
        <v>5.9</v>
      </c>
      <c r="O22" s="4" t="n">
        <f aca="false">ROUND((H22+J22+K22)/3,2)</f>
        <v>6</v>
      </c>
      <c r="P22" s="4" t="n">
        <f aca="false">ROUND(0.85*H22+0.15*J22,2)</f>
        <v>5</v>
      </c>
      <c r="Q22" s="4" t="n">
        <f aca="false">ROUND(0.6*J22+0.3*I22+0.1*H22,2)</f>
        <v>4.1</v>
      </c>
      <c r="R22" s="4" t="n">
        <f aca="false">ROUND(0.7*I22+0.2*J22+0.1*K22,2)</f>
        <v>3.2</v>
      </c>
      <c r="S22" s="4" t="n">
        <f aca="false">ROUND(0.13*I22+0.35*J22+0.52*K22,2)</f>
        <v>6.17</v>
      </c>
      <c r="T22" s="4" t="n">
        <f aca="false">ROUND(0.4*I22+0.5*J22+0.1*K22,2)</f>
        <v>4.1</v>
      </c>
      <c r="U22" s="4" t="n">
        <f aca="false">ROUND(0.1*I22+0.55*J22+0.35*K22,2)</f>
        <v>5.75</v>
      </c>
      <c r="V22" s="4" t="n">
        <f aca="false">ROUND(0.6*I22+0.1*J22+0.3*K22,2)</f>
        <v>4.1</v>
      </c>
      <c r="W22" s="4" t="n">
        <f aca="false">ROUND(0.15*I22+0.3*J22+0.55*K22,2)</f>
        <v>6.2</v>
      </c>
      <c r="X22" s="4" t="n">
        <f aca="false">ROUND(0.46*I22+0.46*J22+0.08*K22,2)</f>
        <v>3.86</v>
      </c>
      <c r="Y22" s="4" t="str">
        <f aca="false">IF(H22=MAX(H22:K22),"Pitcher (arm-first)",IF(I22=MAX(H22:K22),"Bat-first (corner/1B/DH)",IF(J22=MAX(H22:K22),"Defense-first (up-the-middle)","Speed-first (CF/leadoff)")))</f>
        <v>Speed-first (CF/leadoff)</v>
      </c>
      <c r="Z22" s="5" t="n">
        <f aca="false">P22</f>
        <v>5</v>
      </c>
      <c r="AA22" s="5" t="n">
        <f aca="false">IF(F22="Right",Q22,-1)</f>
        <v>4.1</v>
      </c>
      <c r="AB22" s="5" t="n">
        <f aca="false">R22</f>
        <v>3.2</v>
      </c>
      <c r="AC22" s="5" t="n">
        <f aca="false">IF(F22="Right",S22,-1)</f>
        <v>6.17</v>
      </c>
      <c r="AD22" s="5" t="n">
        <f aca="false">IF(F22="Right",T22,-1)</f>
        <v>4.1</v>
      </c>
      <c r="AE22" s="5" t="n">
        <f aca="false">IF(F22="Right",U22,-1)</f>
        <v>5.75</v>
      </c>
      <c r="AF22" s="5" t="n">
        <f aca="false">V22</f>
        <v>4.1</v>
      </c>
      <c r="AG22" s="5" t="n">
        <f aca="false">W22</f>
        <v>6.2</v>
      </c>
      <c r="AH22" s="5" t="n">
        <f aca="false">X22</f>
        <v>3.86</v>
      </c>
      <c r="AI22" s="4" t="str">
        <f aca="false">INDEX($Z$1:$AH$1,MATCH(MAX(Z22:AH22),Z22:AH22,0))</f>
        <v>CF</v>
      </c>
      <c r="AJ22" s="4" t="n">
        <f aca="false">MAX(Z22:AH22)</f>
        <v>6.2</v>
      </c>
      <c r="AK22" s="4" t="n">
        <f aca="false">SUMPRODUCT(($AI$2:$AI$73=AI22)*($AJ$2:$AJ$73&gt;AJ22))+SUMPRODUCT(($AI$2:$AI$73=AI22)*($AJ$2:$AJ$73=AJ22)*(ROW($AI$2:$AI$73)&lt;ROW(AI22)))+1</f>
        <v>4</v>
      </c>
      <c r="AL22" s="6" t="n">
        <f aca="false">SQRT((H22-'MLB Archetypes'!$C$2)^2+(I22-'MLB Archetypes'!$D$2)^2+(J22-'MLB Archetypes'!$E$2)^2+(K22-'MLB Archetypes'!$F$2)^2)</f>
        <v>7.07106781186548</v>
      </c>
      <c r="AM22" s="6" t="n">
        <f aca="false">SQRT((H22-'MLB Archetypes'!$C$3)^2+(I22-'MLB Archetypes'!$D$3)^2+(J22-'MLB Archetypes'!$E$3)^2+(K22-'MLB Archetypes'!$F$3)^2)</f>
        <v>6.557438524302</v>
      </c>
      <c r="AN22" s="6" t="n">
        <f aca="false">SQRT((H22-'MLB Archetypes'!$C$4)^2+(I22-'MLB Archetypes'!$D$4)^2+(J22-'MLB Archetypes'!$E$4)^2+(K22-'MLB Archetypes'!$F$4)^2)</f>
        <v>8.66025403784439</v>
      </c>
      <c r="AO22" s="6" t="n">
        <f aca="false">SQRT((H22-'MLB Archetypes'!$C$5)^2+(I22-'MLB Archetypes'!$D$5)^2+(J22-'MLB Archetypes'!$E$5)^2+(K22-'MLB Archetypes'!$F$5)^2)</f>
        <v>7.07106781186548</v>
      </c>
      <c r="AP22" s="6" t="n">
        <f aca="false">SQRT((H22-'MLB Archetypes'!$C$6)^2+(I22-'MLB Archetypes'!$D$6)^2+(J22-'MLB Archetypes'!$E$6)^2+(K22-'MLB Archetypes'!$F$6)^2)</f>
        <v>9.16515138991168</v>
      </c>
      <c r="AQ22" s="6" t="n">
        <f aca="false">SQRT((H22-'MLB Archetypes'!$C$7)^2+(I22-'MLB Archetypes'!$D$7)^2+(J22-'MLB Archetypes'!$E$7)^2+(K22-'MLB Archetypes'!$F$7)^2)</f>
        <v>7.54983443527075</v>
      </c>
      <c r="AR22" s="6" t="n">
        <f aca="false">SQRT((H22-'MLB Archetypes'!$C$8)^2+(I22-'MLB Archetypes'!$D$8)^2+(J22-'MLB Archetypes'!$E$8)^2+(K22-'MLB Archetypes'!$F$8)^2)</f>
        <v>5.3851648071345</v>
      </c>
      <c r="AS22" s="6" t="n">
        <f aca="false">SQRT((H22-'MLB Archetypes'!$C$9)^2+(I22-'MLB Archetypes'!$D$9)^2+(J22-'MLB Archetypes'!$E$9)^2+(K22-'MLB Archetypes'!$F$9)^2)</f>
        <v>6.85565460040104</v>
      </c>
      <c r="AT22" s="6" t="n">
        <f aca="false">SQRT((H22-'MLB Archetypes'!$C$10)^2+(I22-'MLB Archetypes'!$D$10)^2+(J22-'MLB Archetypes'!$E$10)^2+(K22-'MLB Archetypes'!$F$10)^2)</f>
        <v>8.36660026534076</v>
      </c>
      <c r="AU22" s="6" t="n">
        <f aca="false">SQRT((H22-'MLB Archetypes'!$C$11)^2+(I22-'MLB Archetypes'!$D$11)^2+(J22-'MLB Archetypes'!$E$11)^2+(K22-'MLB Archetypes'!$F$11)^2)</f>
        <v>8.66025403784439</v>
      </c>
      <c r="AV22" s="6" t="n">
        <f aca="false">SQRT((H22-'MLB Archetypes'!$C$12)^2+(I22-'MLB Archetypes'!$D$12)^2+(J22-'MLB Archetypes'!$E$12)^2+(K22-'MLB Archetypes'!$F$12)^2)</f>
        <v>6</v>
      </c>
      <c r="AW22" s="6" t="n">
        <f aca="false">SQRT((H22-'MLB Archetypes'!$C$13)^2+(I22-'MLB Archetypes'!$D$13)^2+(J22-'MLB Archetypes'!$E$13)^2+(K22-'MLB Archetypes'!$F$13)^2)</f>
        <v>7.93725393319377</v>
      </c>
      <c r="AX22" s="6" t="n">
        <f aca="false">SQRT((H22-'MLB Archetypes'!$C$14)^2+(I22-'MLB Archetypes'!$D$14)^2+(J22-'MLB Archetypes'!$E$14)^2+(K22-'MLB Archetypes'!$F$14)^2)</f>
        <v>8.24621125123532</v>
      </c>
      <c r="AY22" s="6" t="n">
        <f aca="false">SQRT((H22-'MLB Archetypes'!$C$15)^2+(I22-'MLB Archetypes'!$D$15)^2+(J22-'MLB Archetypes'!$E$15)^2+(K22-'MLB Archetypes'!$F$15)^2)</f>
        <v>5.3851648071345</v>
      </c>
      <c r="AZ22" s="6" t="n">
        <f aca="false">SQRT((H22-'MLB Archetypes'!$C$16)^2+(I22-'MLB Archetypes'!$D$16)^2+(J22-'MLB Archetypes'!$E$16)^2+(K22-'MLB Archetypes'!$F$16)^2)</f>
        <v>7.81024967590665</v>
      </c>
      <c r="BA22" s="6" t="n">
        <f aca="false">SQRT((H22-'MLB Archetypes'!$C$17)^2+(I22-'MLB Archetypes'!$D$17)^2+(J22-'MLB Archetypes'!$E$17)^2+(K22-'MLB Archetypes'!$F$17)^2)</f>
        <v>6.2449979983984</v>
      </c>
      <c r="BB22" s="6" t="n">
        <f aca="false">SQRT((H22-'MLB Archetypes'!$C$18)^2+(I22-'MLB Archetypes'!$D$18)^2+(J22-'MLB Archetypes'!$E$18)^2+(K22-'MLB Archetypes'!$F$18)^2)</f>
        <v>8.24621125123532</v>
      </c>
      <c r="BC22" s="6" t="n">
        <f aca="false">SQRT((H22-'MLB Archetypes'!$C$19)^2+(I22-'MLB Archetypes'!$D$19)^2+(J22-'MLB Archetypes'!$E$19)^2+(K22-'MLB Archetypes'!$F$19)^2)</f>
        <v>6.85565460040104</v>
      </c>
      <c r="BD22" s="4" t="str">
        <f aca="false">INDEX('MLB Archetypes'!$B$2:$B$19,MATCH(MIN(AL22:BC22),AL22:BC22,0))</f>
        <v>Jackie Robinson</v>
      </c>
      <c r="BE22" s="7" t="n">
        <f aca="false">ROUND(10-MIN(AL22:BC22)/1.8,1)</f>
        <v>7</v>
      </c>
    </row>
    <row r="23" customFormat="false" ht="15" hidden="false" customHeight="false" outlineLevel="0" collapsed="false">
      <c r="A23" s="2" t="s">
        <v>85</v>
      </c>
      <c r="B23" s="2" t="s">
        <v>54</v>
      </c>
      <c r="C23" s="2" t="s">
        <v>66</v>
      </c>
      <c r="D23" s="2" t="s">
        <v>50</v>
      </c>
      <c r="E23" s="2" t="s">
        <v>50</v>
      </c>
      <c r="F23" s="2" t="s">
        <v>52</v>
      </c>
      <c r="G23" s="2" t="s">
        <v>57</v>
      </c>
      <c r="H23" s="3" t="n">
        <v>6</v>
      </c>
      <c r="I23" s="3" t="n">
        <v>4</v>
      </c>
      <c r="J23" s="3" t="n">
        <v>5</v>
      </c>
      <c r="K23" s="3" t="n">
        <v>6</v>
      </c>
      <c r="L23" s="4" t="n">
        <f aca="false">H23+I23+J23+K23</f>
        <v>21</v>
      </c>
      <c r="M23" s="4" t="n">
        <f aca="false">ROUND(0.75*I23+0.25*K23,2)</f>
        <v>4.5</v>
      </c>
      <c r="N23" s="4" t="n">
        <f aca="false">ROUND(0.7*J23+0.3*K23,2)</f>
        <v>5.3</v>
      </c>
      <c r="O23" s="4" t="n">
        <f aca="false">ROUND((H23+J23+K23)/3,2)</f>
        <v>5.67</v>
      </c>
      <c r="P23" s="4" t="n">
        <f aca="false">ROUND(0.85*H23+0.15*J23,2)</f>
        <v>5.85</v>
      </c>
      <c r="Q23" s="4" t="n">
        <f aca="false">ROUND(0.6*J23+0.3*I23+0.1*H23,2)</f>
        <v>4.8</v>
      </c>
      <c r="R23" s="4" t="n">
        <f aca="false">ROUND(0.7*I23+0.2*J23+0.1*K23,2)</f>
        <v>4.4</v>
      </c>
      <c r="S23" s="4" t="n">
        <f aca="false">ROUND(0.13*I23+0.35*J23+0.52*K23,2)</f>
        <v>5.39</v>
      </c>
      <c r="T23" s="4" t="n">
        <f aca="false">ROUND(0.4*I23+0.5*J23+0.1*K23,2)</f>
        <v>4.7</v>
      </c>
      <c r="U23" s="4" t="n">
        <f aca="false">ROUND(0.1*I23+0.55*J23+0.35*K23,2)</f>
        <v>5.25</v>
      </c>
      <c r="V23" s="4" t="n">
        <f aca="false">ROUND(0.6*I23+0.1*J23+0.3*K23,2)</f>
        <v>4.7</v>
      </c>
      <c r="W23" s="4" t="n">
        <f aca="false">ROUND(0.15*I23+0.3*J23+0.55*K23,2)</f>
        <v>5.4</v>
      </c>
      <c r="X23" s="4" t="n">
        <f aca="false">ROUND(0.46*I23+0.46*J23+0.08*K23,2)</f>
        <v>4.62</v>
      </c>
      <c r="Y23" s="4" t="str">
        <f aca="false">IF(H23=MAX(H23:K23),"Pitcher (arm-first)",IF(I23=MAX(H23:K23),"Bat-first (corner/1B/DH)",IF(J23=MAX(H23:K23),"Defense-first (up-the-middle)","Speed-first (CF/leadoff)")))</f>
        <v>Pitcher (arm-first)</v>
      </c>
      <c r="Z23" s="5" t="n">
        <f aca="false">P23</f>
        <v>5.85</v>
      </c>
      <c r="AA23" s="5" t="n">
        <f aca="false">IF(F23="Right",Q23,-1)</f>
        <v>4.8</v>
      </c>
      <c r="AB23" s="5" t="n">
        <f aca="false">R23</f>
        <v>4.4</v>
      </c>
      <c r="AC23" s="5" t="n">
        <f aca="false">IF(F23="Right",S23,-1)</f>
        <v>5.39</v>
      </c>
      <c r="AD23" s="5" t="n">
        <f aca="false">IF(F23="Right",T23,-1)</f>
        <v>4.7</v>
      </c>
      <c r="AE23" s="5" t="n">
        <f aca="false">IF(F23="Right",U23,-1)</f>
        <v>5.25</v>
      </c>
      <c r="AF23" s="5" t="n">
        <f aca="false">V23</f>
        <v>4.7</v>
      </c>
      <c r="AG23" s="5" t="n">
        <f aca="false">W23</f>
        <v>5.4</v>
      </c>
      <c r="AH23" s="5" t="n">
        <f aca="false">X23</f>
        <v>4.62</v>
      </c>
      <c r="AI23" s="4" t="str">
        <f aca="false">INDEX($Z$1:$AH$1,MATCH(MAX(Z23:AH23),Z23:AH23,0))</f>
        <v>P</v>
      </c>
      <c r="AJ23" s="4" t="n">
        <f aca="false">MAX(Z23:AH23)</f>
        <v>5.85</v>
      </c>
      <c r="AK23" s="4" t="n">
        <f aca="false">SUMPRODUCT(($AI$2:$AI$73=AI23)*($AJ$2:$AJ$73&gt;AJ23))+SUMPRODUCT(($AI$2:$AI$73=AI23)*($AJ$2:$AJ$73=AJ23)*(ROW($AI$2:$AI$73)&lt;ROW(AI23)))+1</f>
        <v>14</v>
      </c>
      <c r="AL23" s="6" t="n">
        <f aca="false">SQRT((H23-'MLB Archetypes'!$C$2)^2+(I23-'MLB Archetypes'!$D$2)^2+(J23-'MLB Archetypes'!$E$2)^2+(K23-'MLB Archetypes'!$F$2)^2)</f>
        <v>5.3851648071345</v>
      </c>
      <c r="AM23" s="6" t="n">
        <f aca="false">SQRT((H23-'MLB Archetypes'!$C$3)^2+(I23-'MLB Archetypes'!$D$3)^2+(J23-'MLB Archetypes'!$E$3)^2+(K23-'MLB Archetypes'!$F$3)^2)</f>
        <v>4.47213595499958</v>
      </c>
      <c r="AN23" s="6" t="n">
        <f aca="false">SQRT((H23-'MLB Archetypes'!$C$4)^2+(I23-'MLB Archetypes'!$D$4)^2+(J23-'MLB Archetypes'!$E$4)^2+(K23-'MLB Archetypes'!$F$4)^2)</f>
        <v>7.07106781186548</v>
      </c>
      <c r="AO23" s="6" t="n">
        <f aca="false">SQRT((H23-'MLB Archetypes'!$C$5)^2+(I23-'MLB Archetypes'!$D$5)^2+(J23-'MLB Archetypes'!$E$5)^2+(K23-'MLB Archetypes'!$F$5)^2)</f>
        <v>5.74456264653803</v>
      </c>
      <c r="AP23" s="6" t="n">
        <f aca="false">SQRT((H23-'MLB Archetypes'!$C$6)^2+(I23-'MLB Archetypes'!$D$6)^2+(J23-'MLB Archetypes'!$E$6)^2+(K23-'MLB Archetypes'!$F$6)^2)</f>
        <v>7.14142842854285</v>
      </c>
      <c r="AQ23" s="6" t="n">
        <f aca="false">SQRT((H23-'MLB Archetypes'!$C$7)^2+(I23-'MLB Archetypes'!$D$7)^2+(J23-'MLB Archetypes'!$E$7)^2+(K23-'MLB Archetypes'!$F$7)^2)</f>
        <v>6.32455532033676</v>
      </c>
      <c r="AR23" s="6" t="n">
        <f aca="false">SQRT((H23-'MLB Archetypes'!$C$8)^2+(I23-'MLB Archetypes'!$D$8)^2+(J23-'MLB Archetypes'!$E$8)^2+(K23-'MLB Archetypes'!$F$8)^2)</f>
        <v>5.29150262212918</v>
      </c>
      <c r="AS23" s="6" t="n">
        <f aca="false">SQRT((H23-'MLB Archetypes'!$C$9)^2+(I23-'MLB Archetypes'!$D$9)^2+(J23-'MLB Archetypes'!$E$9)^2+(K23-'MLB Archetypes'!$F$9)^2)</f>
        <v>5.8309518948453</v>
      </c>
      <c r="AT23" s="6" t="n">
        <f aca="false">SQRT((H23-'MLB Archetypes'!$C$10)^2+(I23-'MLB Archetypes'!$D$10)^2+(J23-'MLB Archetypes'!$E$10)^2+(K23-'MLB Archetypes'!$F$10)^2)</f>
        <v>6.70820393249937</v>
      </c>
      <c r="AU23" s="6" t="n">
        <f aca="false">SQRT((H23-'MLB Archetypes'!$C$11)^2+(I23-'MLB Archetypes'!$D$11)^2+(J23-'MLB Archetypes'!$E$11)^2+(K23-'MLB Archetypes'!$F$11)^2)</f>
        <v>6.78232998312527</v>
      </c>
      <c r="AV23" s="6" t="n">
        <f aca="false">SQRT((H23-'MLB Archetypes'!$C$12)^2+(I23-'MLB Archetypes'!$D$12)^2+(J23-'MLB Archetypes'!$E$12)^2+(K23-'MLB Archetypes'!$F$12)^2)</f>
        <v>6.557438524302</v>
      </c>
      <c r="AW23" s="6" t="n">
        <f aca="false">SQRT((H23-'MLB Archetypes'!$C$13)^2+(I23-'MLB Archetypes'!$D$13)^2+(J23-'MLB Archetypes'!$E$13)^2+(K23-'MLB Archetypes'!$F$13)^2)</f>
        <v>6.16441400296898</v>
      </c>
      <c r="AX23" s="6" t="n">
        <f aca="false">SQRT((H23-'MLB Archetypes'!$C$14)^2+(I23-'MLB Archetypes'!$D$14)^2+(J23-'MLB Archetypes'!$E$14)^2+(K23-'MLB Archetypes'!$F$14)^2)</f>
        <v>6.557438524302</v>
      </c>
      <c r="AY23" s="6" t="n">
        <f aca="false">SQRT((H23-'MLB Archetypes'!$C$15)^2+(I23-'MLB Archetypes'!$D$15)^2+(J23-'MLB Archetypes'!$E$15)^2+(K23-'MLB Archetypes'!$F$15)^2)</f>
        <v>6</v>
      </c>
      <c r="AZ23" s="6" t="n">
        <f aca="false">SQRT((H23-'MLB Archetypes'!$C$16)^2+(I23-'MLB Archetypes'!$D$16)^2+(J23-'MLB Archetypes'!$E$16)^2+(K23-'MLB Archetypes'!$F$16)^2)</f>
        <v>7.21110255092798</v>
      </c>
      <c r="BA23" s="6" t="n">
        <f aca="false">SQRT((H23-'MLB Archetypes'!$C$17)^2+(I23-'MLB Archetypes'!$D$17)^2+(J23-'MLB Archetypes'!$E$17)^2+(K23-'MLB Archetypes'!$F$17)^2)</f>
        <v>6.16441400296898</v>
      </c>
      <c r="BB23" s="6" t="n">
        <f aca="false">SQRT((H23-'MLB Archetypes'!$C$18)^2+(I23-'MLB Archetypes'!$D$18)^2+(J23-'MLB Archetypes'!$E$18)^2+(K23-'MLB Archetypes'!$F$18)^2)</f>
        <v>6.557438524302</v>
      </c>
      <c r="BC23" s="6" t="n">
        <f aca="false">SQRT((H23-'MLB Archetypes'!$C$19)^2+(I23-'MLB Archetypes'!$D$19)^2+(J23-'MLB Archetypes'!$E$19)^2+(K23-'MLB Archetypes'!$F$19)^2)</f>
        <v>5.8309518948453</v>
      </c>
      <c r="BD23" s="4" t="str">
        <f aca="false">INDEX('MLB Archetypes'!$B$2:$B$19,MATCH(MIN(AL23:BC23),AL23:BC23,0))</f>
        <v>Greg Maddux</v>
      </c>
      <c r="BE23" s="7" t="n">
        <f aca="false">ROUND(10-MIN(AL23:BC23)/1.8,1)</f>
        <v>7.5</v>
      </c>
    </row>
    <row r="24" customFormat="false" ht="15" hidden="false" customHeight="false" outlineLevel="0" collapsed="false">
      <c r="A24" s="2" t="s">
        <v>86</v>
      </c>
      <c r="B24" s="2" t="s">
        <v>49</v>
      </c>
      <c r="C24" s="2" t="s">
        <v>87</v>
      </c>
      <c r="D24" s="2" t="s">
        <v>51</v>
      </c>
      <c r="E24" s="2" t="s">
        <v>50</v>
      </c>
      <c r="F24" s="2" t="s">
        <v>52</v>
      </c>
      <c r="G24" s="2" t="s">
        <v>52</v>
      </c>
      <c r="H24" s="3" t="n">
        <v>5</v>
      </c>
      <c r="I24" s="3" t="n">
        <v>8</v>
      </c>
      <c r="J24" s="3" t="n">
        <v>4</v>
      </c>
      <c r="K24" s="3" t="n">
        <v>2</v>
      </c>
      <c r="L24" s="4" t="n">
        <f aca="false">H24+I24+J24+K24</f>
        <v>19</v>
      </c>
      <c r="M24" s="4" t="n">
        <f aca="false">ROUND(0.75*I24+0.25*K24,2)</f>
        <v>6.5</v>
      </c>
      <c r="N24" s="4" t="n">
        <f aca="false">ROUND(0.7*J24+0.3*K24,2)</f>
        <v>3.4</v>
      </c>
      <c r="O24" s="4" t="n">
        <f aca="false">ROUND((H24+J24+K24)/3,2)</f>
        <v>3.67</v>
      </c>
      <c r="P24" s="4" t="n">
        <f aca="false">ROUND(0.85*H24+0.15*J24,2)</f>
        <v>4.85</v>
      </c>
      <c r="Q24" s="4" t="n">
        <f aca="false">ROUND(0.6*J24+0.3*I24+0.1*H24,2)</f>
        <v>5.3</v>
      </c>
      <c r="R24" s="4" t="n">
        <f aca="false">ROUND(0.7*I24+0.2*J24+0.1*K24,2)</f>
        <v>6.6</v>
      </c>
      <c r="S24" s="4" t="n">
        <f aca="false">ROUND(0.13*I24+0.35*J24+0.52*K24,2)</f>
        <v>3.48</v>
      </c>
      <c r="T24" s="4" t="n">
        <f aca="false">ROUND(0.4*I24+0.5*J24+0.1*K24,2)</f>
        <v>5.4</v>
      </c>
      <c r="U24" s="4" t="n">
        <f aca="false">ROUND(0.1*I24+0.55*J24+0.35*K24,2)</f>
        <v>3.7</v>
      </c>
      <c r="V24" s="4" t="n">
        <f aca="false">ROUND(0.6*I24+0.1*J24+0.3*K24,2)</f>
        <v>5.8</v>
      </c>
      <c r="W24" s="4" t="n">
        <f aca="false">ROUND(0.15*I24+0.3*J24+0.55*K24,2)</f>
        <v>3.5</v>
      </c>
      <c r="X24" s="4" t="n">
        <f aca="false">ROUND(0.46*I24+0.46*J24+0.08*K24,2)</f>
        <v>5.68</v>
      </c>
      <c r="Y24" s="4" t="str">
        <f aca="false">IF(H24=MAX(H24:K24),"Pitcher (arm-first)",IF(I24=MAX(H24:K24),"Bat-first (corner/1B/DH)",IF(J24=MAX(H24:K24),"Defense-first (up-the-middle)","Speed-first (CF/leadoff)")))</f>
        <v>Bat-first (corner/1B/DH)</v>
      </c>
      <c r="Z24" s="5" t="n">
        <f aca="false">P24</f>
        <v>4.85</v>
      </c>
      <c r="AA24" s="5" t="n">
        <f aca="false">IF(F24="Right",Q24,-1)</f>
        <v>5.3</v>
      </c>
      <c r="AB24" s="5" t="n">
        <f aca="false">R24</f>
        <v>6.6</v>
      </c>
      <c r="AC24" s="5" t="n">
        <f aca="false">IF(F24="Right",S24,-1)</f>
        <v>3.48</v>
      </c>
      <c r="AD24" s="5" t="n">
        <f aca="false">IF(F24="Right",T24,-1)</f>
        <v>5.4</v>
      </c>
      <c r="AE24" s="5" t="n">
        <f aca="false">IF(F24="Right",U24,-1)</f>
        <v>3.7</v>
      </c>
      <c r="AF24" s="5" t="n">
        <f aca="false">V24</f>
        <v>5.8</v>
      </c>
      <c r="AG24" s="5" t="n">
        <f aca="false">W24</f>
        <v>3.5</v>
      </c>
      <c r="AH24" s="5" t="n">
        <f aca="false">X24</f>
        <v>5.68</v>
      </c>
      <c r="AI24" s="4" t="str">
        <f aca="false">INDEX($Z$1:$AH$1,MATCH(MAX(Z24:AH24),Z24:AH24,0))</f>
        <v>1B</v>
      </c>
      <c r="AJ24" s="4" t="n">
        <f aca="false">MAX(Z24:AH24)</f>
        <v>6.6</v>
      </c>
      <c r="AK24" s="4" t="n">
        <f aca="false">SUMPRODUCT(($AI$2:$AI$73=AI24)*($AJ$2:$AJ$73&gt;AJ24))+SUMPRODUCT(($AI$2:$AI$73=AI24)*($AJ$2:$AJ$73=AJ24)*(ROW($AI$2:$AI$73)&lt;ROW(AI24)))+1</f>
        <v>10</v>
      </c>
      <c r="AL24" s="6" t="n">
        <f aca="false">SQRT((H24-'MLB Archetypes'!$C$2)^2+(I24-'MLB Archetypes'!$D$2)^2+(J24-'MLB Archetypes'!$E$2)^2+(K24-'MLB Archetypes'!$F$2)^2)</f>
        <v>7.93725393319377</v>
      </c>
      <c r="AM24" s="6" t="n">
        <f aca="false">SQRT((H24-'MLB Archetypes'!$C$3)^2+(I24-'MLB Archetypes'!$D$3)^2+(J24-'MLB Archetypes'!$E$3)^2+(K24-'MLB Archetypes'!$F$3)^2)</f>
        <v>6.78232998312527</v>
      </c>
      <c r="AN24" s="6" t="n">
        <f aca="false">SQRT((H24-'MLB Archetypes'!$C$4)^2+(I24-'MLB Archetypes'!$D$4)^2+(J24-'MLB Archetypes'!$E$4)^2+(K24-'MLB Archetypes'!$F$4)^2)</f>
        <v>6</v>
      </c>
      <c r="AO24" s="6" t="n">
        <f aca="false">SQRT((H24-'MLB Archetypes'!$C$5)^2+(I24-'MLB Archetypes'!$D$5)^2+(J24-'MLB Archetypes'!$E$5)^2+(K24-'MLB Archetypes'!$F$5)^2)</f>
        <v>5.74456264653803</v>
      </c>
      <c r="AP24" s="6" t="n">
        <f aca="false">SQRT((H24-'MLB Archetypes'!$C$6)^2+(I24-'MLB Archetypes'!$D$6)^2+(J24-'MLB Archetypes'!$E$6)^2+(K24-'MLB Archetypes'!$F$6)^2)</f>
        <v>3.87298334620742</v>
      </c>
      <c r="AQ24" s="6" t="n">
        <f aca="false">SQRT((H24-'MLB Archetypes'!$C$7)^2+(I24-'MLB Archetypes'!$D$7)^2+(J24-'MLB Archetypes'!$E$7)^2+(K24-'MLB Archetypes'!$F$7)^2)</f>
        <v>6.48074069840786</v>
      </c>
      <c r="AR24" s="6" t="n">
        <f aca="false">SQRT((H24-'MLB Archetypes'!$C$8)^2+(I24-'MLB Archetypes'!$D$8)^2+(J24-'MLB Archetypes'!$E$8)^2+(K24-'MLB Archetypes'!$F$8)^2)</f>
        <v>7.61577310586391</v>
      </c>
      <c r="AS24" s="6" t="n">
        <f aca="false">SQRT((H24-'MLB Archetypes'!$C$9)^2+(I24-'MLB Archetypes'!$D$9)^2+(J24-'MLB Archetypes'!$E$9)^2+(K24-'MLB Archetypes'!$F$9)^2)</f>
        <v>6.48074069840786</v>
      </c>
      <c r="AT24" s="6" t="n">
        <f aca="false">SQRT((H24-'MLB Archetypes'!$C$10)^2+(I24-'MLB Archetypes'!$D$10)^2+(J24-'MLB Archetypes'!$E$10)^2+(K24-'MLB Archetypes'!$F$10)^2)</f>
        <v>5.3851648071345</v>
      </c>
      <c r="AU24" s="6" t="n">
        <f aca="false">SQRT((H24-'MLB Archetypes'!$C$11)^2+(I24-'MLB Archetypes'!$D$11)^2+(J24-'MLB Archetypes'!$E$11)^2+(K24-'MLB Archetypes'!$F$11)^2)</f>
        <v>4.24264068711929</v>
      </c>
      <c r="AV24" s="6" t="n">
        <f aca="false">SQRT((H24-'MLB Archetypes'!$C$12)^2+(I24-'MLB Archetypes'!$D$12)^2+(J24-'MLB Archetypes'!$E$12)^2+(K24-'MLB Archetypes'!$F$12)^2)</f>
        <v>9.74679434480896</v>
      </c>
      <c r="AW24" s="6" t="n">
        <f aca="false">SQRT((H24-'MLB Archetypes'!$C$13)^2+(I24-'MLB Archetypes'!$D$13)^2+(J24-'MLB Archetypes'!$E$13)^2+(K24-'MLB Archetypes'!$F$13)^2)</f>
        <v>4.47213595499958</v>
      </c>
      <c r="AX24" s="6" t="n">
        <f aca="false">SQRT((H24-'MLB Archetypes'!$C$14)^2+(I24-'MLB Archetypes'!$D$14)^2+(J24-'MLB Archetypes'!$E$14)^2+(K24-'MLB Archetypes'!$F$14)^2)</f>
        <v>4.79583152331272</v>
      </c>
      <c r="AY24" s="6" t="n">
        <f aca="false">SQRT((H24-'MLB Archetypes'!$C$15)^2+(I24-'MLB Archetypes'!$D$15)^2+(J24-'MLB Archetypes'!$E$15)^2+(K24-'MLB Archetypes'!$F$15)^2)</f>
        <v>8.83176086632785</v>
      </c>
      <c r="AZ24" s="6" t="n">
        <f aca="false">SQRT((H24-'MLB Archetypes'!$C$16)^2+(I24-'MLB Archetypes'!$D$16)^2+(J24-'MLB Archetypes'!$E$16)^2+(K24-'MLB Archetypes'!$F$16)^2)</f>
        <v>8.36660026534076</v>
      </c>
      <c r="BA24" s="6" t="n">
        <f aca="false">SQRT((H24-'MLB Archetypes'!$C$17)^2+(I24-'MLB Archetypes'!$D$17)^2+(J24-'MLB Archetypes'!$E$17)^2+(K24-'MLB Archetypes'!$F$17)^2)</f>
        <v>8.24621125123532</v>
      </c>
      <c r="BB24" s="6" t="n">
        <f aca="false">SQRT((H24-'MLB Archetypes'!$C$18)^2+(I24-'MLB Archetypes'!$D$18)^2+(J24-'MLB Archetypes'!$E$18)^2+(K24-'MLB Archetypes'!$F$18)^2)</f>
        <v>4.79583152331272</v>
      </c>
      <c r="BC24" s="6" t="n">
        <f aca="false">SQRT((H24-'MLB Archetypes'!$C$19)^2+(I24-'MLB Archetypes'!$D$19)^2+(J24-'MLB Archetypes'!$E$19)^2+(K24-'MLB Archetypes'!$F$19)^2)</f>
        <v>6.48074069840786</v>
      </c>
      <c r="BD24" s="4" t="str">
        <f aca="false">INDEX('MLB Archetypes'!$B$2:$B$19,MATCH(MIN(AL24:BC24),AL24:BC24,0))</f>
        <v>Albert Pujols</v>
      </c>
      <c r="BE24" s="7" t="n">
        <f aca="false">ROUND(10-MIN(AL24:BC24)/1.8,1)</f>
        <v>7.8</v>
      </c>
    </row>
    <row r="25" customFormat="false" ht="15" hidden="false" customHeight="false" outlineLevel="0" collapsed="false">
      <c r="A25" s="2" t="s">
        <v>88</v>
      </c>
      <c r="B25" s="2" t="s">
        <v>49</v>
      </c>
      <c r="C25" s="2" t="s">
        <v>87</v>
      </c>
      <c r="D25" s="2" t="s">
        <v>51</v>
      </c>
      <c r="E25" s="2" t="s">
        <v>50</v>
      </c>
      <c r="F25" s="2" t="s">
        <v>52</v>
      </c>
      <c r="G25" s="2" t="s">
        <v>52</v>
      </c>
      <c r="H25" s="3" t="n">
        <v>4</v>
      </c>
      <c r="I25" s="3" t="n">
        <v>8</v>
      </c>
      <c r="J25" s="3" t="n">
        <v>4</v>
      </c>
      <c r="K25" s="3" t="n">
        <v>2</v>
      </c>
      <c r="L25" s="4" t="n">
        <f aca="false">H25+I25+J25+K25</f>
        <v>18</v>
      </c>
      <c r="M25" s="4" t="n">
        <f aca="false">ROUND(0.75*I25+0.25*K25,2)</f>
        <v>6.5</v>
      </c>
      <c r="N25" s="4" t="n">
        <f aca="false">ROUND(0.7*J25+0.3*K25,2)</f>
        <v>3.4</v>
      </c>
      <c r="O25" s="4" t="n">
        <f aca="false">ROUND((H25+J25+K25)/3,2)</f>
        <v>3.33</v>
      </c>
      <c r="P25" s="4" t="n">
        <f aca="false">ROUND(0.85*H25+0.15*J25,2)</f>
        <v>4</v>
      </c>
      <c r="Q25" s="4" t="n">
        <f aca="false">ROUND(0.6*J25+0.3*I25+0.1*H25,2)</f>
        <v>5.2</v>
      </c>
      <c r="R25" s="4" t="n">
        <f aca="false">ROUND(0.7*I25+0.2*J25+0.1*K25,2)</f>
        <v>6.6</v>
      </c>
      <c r="S25" s="4" t="n">
        <f aca="false">ROUND(0.13*I25+0.35*J25+0.52*K25,2)</f>
        <v>3.48</v>
      </c>
      <c r="T25" s="4" t="n">
        <f aca="false">ROUND(0.4*I25+0.5*J25+0.1*K25,2)</f>
        <v>5.4</v>
      </c>
      <c r="U25" s="4" t="n">
        <f aca="false">ROUND(0.1*I25+0.55*J25+0.35*K25,2)</f>
        <v>3.7</v>
      </c>
      <c r="V25" s="4" t="n">
        <f aca="false">ROUND(0.6*I25+0.1*J25+0.3*K25,2)</f>
        <v>5.8</v>
      </c>
      <c r="W25" s="4" t="n">
        <f aca="false">ROUND(0.15*I25+0.3*J25+0.55*K25,2)</f>
        <v>3.5</v>
      </c>
      <c r="X25" s="4" t="n">
        <f aca="false">ROUND(0.46*I25+0.46*J25+0.08*K25,2)</f>
        <v>5.68</v>
      </c>
      <c r="Y25" s="4" t="str">
        <f aca="false">IF(H25=MAX(H25:K25),"Pitcher (arm-first)",IF(I25=MAX(H25:K25),"Bat-first (corner/1B/DH)",IF(J25=MAX(H25:K25),"Defense-first (up-the-middle)","Speed-first (CF/leadoff)")))</f>
        <v>Bat-first (corner/1B/DH)</v>
      </c>
      <c r="Z25" s="5" t="n">
        <f aca="false">P25</f>
        <v>4</v>
      </c>
      <c r="AA25" s="5" t="n">
        <f aca="false">IF(F25="Right",Q25,-1)</f>
        <v>5.2</v>
      </c>
      <c r="AB25" s="5" t="n">
        <f aca="false">R25</f>
        <v>6.6</v>
      </c>
      <c r="AC25" s="5" t="n">
        <f aca="false">IF(F25="Right",S25,-1)</f>
        <v>3.48</v>
      </c>
      <c r="AD25" s="5" t="n">
        <f aca="false">IF(F25="Right",T25,-1)</f>
        <v>5.4</v>
      </c>
      <c r="AE25" s="5" t="n">
        <f aca="false">IF(F25="Right",U25,-1)</f>
        <v>3.7</v>
      </c>
      <c r="AF25" s="5" t="n">
        <f aca="false">V25</f>
        <v>5.8</v>
      </c>
      <c r="AG25" s="5" t="n">
        <f aca="false">W25</f>
        <v>3.5</v>
      </c>
      <c r="AH25" s="5" t="n">
        <f aca="false">X25</f>
        <v>5.68</v>
      </c>
      <c r="AI25" s="4" t="str">
        <f aca="false">INDEX($Z$1:$AH$1,MATCH(MAX(Z25:AH25),Z25:AH25,0))</f>
        <v>1B</v>
      </c>
      <c r="AJ25" s="4" t="n">
        <f aca="false">MAX(Z25:AH25)</f>
        <v>6.6</v>
      </c>
      <c r="AK25" s="4" t="n">
        <f aca="false">SUMPRODUCT(($AI$2:$AI$73=AI25)*($AJ$2:$AJ$73&gt;AJ25))+SUMPRODUCT(($AI$2:$AI$73=AI25)*($AJ$2:$AJ$73=AJ25)*(ROW($AI$2:$AI$73)&lt;ROW(AI25)))+1</f>
        <v>11</v>
      </c>
      <c r="AL25" s="6" t="n">
        <f aca="false">SQRT((H25-'MLB Archetypes'!$C$2)^2+(I25-'MLB Archetypes'!$D$2)^2+(J25-'MLB Archetypes'!$E$2)^2+(K25-'MLB Archetypes'!$F$2)^2)</f>
        <v>8.60232526704263</v>
      </c>
      <c r="AM25" s="6" t="n">
        <f aca="false">SQRT((H25-'MLB Archetypes'!$C$3)^2+(I25-'MLB Archetypes'!$D$3)^2+(J25-'MLB Archetypes'!$E$3)^2+(K25-'MLB Archetypes'!$F$3)^2)</f>
        <v>7.41619848709566</v>
      </c>
      <c r="AN25" s="6" t="n">
        <f aca="false">SQRT((H25-'MLB Archetypes'!$C$4)^2+(I25-'MLB Archetypes'!$D$4)^2+(J25-'MLB Archetypes'!$E$4)^2+(K25-'MLB Archetypes'!$F$4)^2)</f>
        <v>5.56776436283002</v>
      </c>
      <c r="AO25" s="6" t="n">
        <f aca="false">SQRT((H25-'MLB Archetypes'!$C$5)^2+(I25-'MLB Archetypes'!$D$5)^2+(J25-'MLB Archetypes'!$E$5)^2+(K25-'MLB Archetypes'!$F$5)^2)</f>
        <v>5.29150262212918</v>
      </c>
      <c r="AP25" s="6" t="n">
        <f aca="false">SQRT((H25-'MLB Archetypes'!$C$6)^2+(I25-'MLB Archetypes'!$D$6)^2+(J25-'MLB Archetypes'!$E$6)^2+(K25-'MLB Archetypes'!$F$6)^2)</f>
        <v>3.16227766016838</v>
      </c>
      <c r="AQ25" s="6" t="n">
        <f aca="false">SQRT((H25-'MLB Archetypes'!$C$7)^2+(I25-'MLB Archetypes'!$D$7)^2+(J25-'MLB Archetypes'!$E$7)^2+(K25-'MLB Archetypes'!$F$7)^2)</f>
        <v>6.08276253029822</v>
      </c>
      <c r="AR25" s="6" t="n">
        <f aca="false">SQRT((H25-'MLB Archetypes'!$C$8)^2+(I25-'MLB Archetypes'!$D$8)^2+(J25-'MLB Archetypes'!$E$8)^2+(K25-'MLB Archetypes'!$F$8)^2)</f>
        <v>7.28010988928052</v>
      </c>
      <c r="AS25" s="6" t="n">
        <f aca="false">SQRT((H25-'MLB Archetypes'!$C$9)^2+(I25-'MLB Archetypes'!$D$9)^2+(J25-'MLB Archetypes'!$E$9)^2+(K25-'MLB Archetypes'!$F$9)^2)</f>
        <v>6.08276253029822</v>
      </c>
      <c r="AT25" s="6" t="n">
        <f aca="false">SQRT((H25-'MLB Archetypes'!$C$10)^2+(I25-'MLB Archetypes'!$D$10)^2+(J25-'MLB Archetypes'!$E$10)^2+(K25-'MLB Archetypes'!$F$10)^2)</f>
        <v>4.89897948556636</v>
      </c>
      <c r="AU25" s="6" t="n">
        <f aca="false">SQRT((H25-'MLB Archetypes'!$C$11)^2+(I25-'MLB Archetypes'!$D$11)^2+(J25-'MLB Archetypes'!$E$11)^2+(K25-'MLB Archetypes'!$F$11)^2)</f>
        <v>3.60555127546399</v>
      </c>
      <c r="AV25" s="6" t="n">
        <f aca="false">SQRT((H25-'MLB Archetypes'!$C$12)^2+(I25-'MLB Archetypes'!$D$12)^2+(J25-'MLB Archetypes'!$E$12)^2+(K25-'MLB Archetypes'!$F$12)^2)</f>
        <v>9.48683298050514</v>
      </c>
      <c r="AW25" s="6" t="n">
        <f aca="false">SQRT((H25-'MLB Archetypes'!$C$13)^2+(I25-'MLB Archetypes'!$D$13)^2+(J25-'MLB Archetypes'!$E$13)^2+(K25-'MLB Archetypes'!$F$13)^2)</f>
        <v>3.87298334620742</v>
      </c>
      <c r="AX25" s="6" t="n">
        <f aca="false">SQRT((H25-'MLB Archetypes'!$C$14)^2+(I25-'MLB Archetypes'!$D$14)^2+(J25-'MLB Archetypes'!$E$14)^2+(K25-'MLB Archetypes'!$F$14)^2)</f>
        <v>4.24264068711929</v>
      </c>
      <c r="AY25" s="6" t="n">
        <f aca="false">SQRT((H25-'MLB Archetypes'!$C$15)^2+(I25-'MLB Archetypes'!$D$15)^2+(J25-'MLB Archetypes'!$E$15)^2+(K25-'MLB Archetypes'!$F$15)^2)</f>
        <v>8.54400374531753</v>
      </c>
      <c r="AZ25" s="6" t="n">
        <f aca="false">SQRT((H25-'MLB Archetypes'!$C$16)^2+(I25-'MLB Archetypes'!$D$16)^2+(J25-'MLB Archetypes'!$E$16)^2+(K25-'MLB Archetypes'!$F$16)^2)</f>
        <v>8.06225774829855</v>
      </c>
      <c r="BA25" s="6" t="n">
        <f aca="false">SQRT((H25-'MLB Archetypes'!$C$17)^2+(I25-'MLB Archetypes'!$D$17)^2+(J25-'MLB Archetypes'!$E$17)^2+(K25-'MLB Archetypes'!$F$17)^2)</f>
        <v>7.93725393319377</v>
      </c>
      <c r="BB25" s="6" t="n">
        <f aca="false">SQRT((H25-'MLB Archetypes'!$C$18)^2+(I25-'MLB Archetypes'!$D$18)^2+(J25-'MLB Archetypes'!$E$18)^2+(K25-'MLB Archetypes'!$F$18)^2)</f>
        <v>4.24264068711929</v>
      </c>
      <c r="BC25" s="6" t="n">
        <f aca="false">SQRT((H25-'MLB Archetypes'!$C$19)^2+(I25-'MLB Archetypes'!$D$19)^2+(J25-'MLB Archetypes'!$E$19)^2+(K25-'MLB Archetypes'!$F$19)^2)</f>
        <v>6.08276253029822</v>
      </c>
      <c r="BD25" s="4" t="str">
        <f aca="false">INDEX('MLB Archetypes'!$B$2:$B$19,MATCH(MIN(AL25:BC25),AL25:BC25,0))</f>
        <v>Albert Pujols</v>
      </c>
      <c r="BE25" s="7" t="n">
        <f aca="false">ROUND(10-MIN(AL25:BC25)/1.8,1)</f>
        <v>8.2</v>
      </c>
    </row>
    <row r="26" customFormat="false" ht="15" hidden="false" customHeight="false" outlineLevel="0" collapsed="false">
      <c r="A26" s="2" t="s">
        <v>89</v>
      </c>
      <c r="B26" s="2" t="s">
        <v>49</v>
      </c>
      <c r="C26" s="2" t="s">
        <v>87</v>
      </c>
      <c r="D26" s="2" t="s">
        <v>51</v>
      </c>
      <c r="E26" s="2" t="s">
        <v>50</v>
      </c>
      <c r="F26" s="2" t="s">
        <v>52</v>
      </c>
      <c r="G26" s="2" t="s">
        <v>52</v>
      </c>
      <c r="H26" s="3" t="n">
        <v>4</v>
      </c>
      <c r="I26" s="3" t="n">
        <v>8</v>
      </c>
      <c r="J26" s="3" t="n">
        <v>4</v>
      </c>
      <c r="K26" s="3" t="n">
        <v>2</v>
      </c>
      <c r="L26" s="4" t="n">
        <f aca="false">H26+I26+J26+K26</f>
        <v>18</v>
      </c>
      <c r="M26" s="4" t="n">
        <f aca="false">ROUND(0.75*I26+0.25*K26,2)</f>
        <v>6.5</v>
      </c>
      <c r="N26" s="4" t="n">
        <f aca="false">ROUND(0.7*J26+0.3*K26,2)</f>
        <v>3.4</v>
      </c>
      <c r="O26" s="4" t="n">
        <f aca="false">ROUND((H26+J26+K26)/3,2)</f>
        <v>3.33</v>
      </c>
      <c r="P26" s="4" t="n">
        <f aca="false">ROUND(0.85*H26+0.15*J26,2)</f>
        <v>4</v>
      </c>
      <c r="Q26" s="4" t="n">
        <f aca="false">ROUND(0.6*J26+0.3*I26+0.1*H26,2)</f>
        <v>5.2</v>
      </c>
      <c r="R26" s="4" t="n">
        <f aca="false">ROUND(0.7*I26+0.2*J26+0.1*K26,2)</f>
        <v>6.6</v>
      </c>
      <c r="S26" s="4" t="n">
        <f aca="false">ROUND(0.13*I26+0.35*J26+0.52*K26,2)</f>
        <v>3.48</v>
      </c>
      <c r="T26" s="4" t="n">
        <f aca="false">ROUND(0.4*I26+0.5*J26+0.1*K26,2)</f>
        <v>5.4</v>
      </c>
      <c r="U26" s="4" t="n">
        <f aca="false">ROUND(0.1*I26+0.55*J26+0.35*K26,2)</f>
        <v>3.7</v>
      </c>
      <c r="V26" s="4" t="n">
        <f aca="false">ROUND(0.6*I26+0.1*J26+0.3*K26,2)</f>
        <v>5.8</v>
      </c>
      <c r="W26" s="4" t="n">
        <f aca="false">ROUND(0.15*I26+0.3*J26+0.55*K26,2)</f>
        <v>3.5</v>
      </c>
      <c r="X26" s="4" t="n">
        <f aca="false">ROUND(0.46*I26+0.46*J26+0.08*K26,2)</f>
        <v>5.68</v>
      </c>
      <c r="Y26" s="4" t="str">
        <f aca="false">IF(H26=MAX(H26:K26),"Pitcher (arm-first)",IF(I26=MAX(H26:K26),"Bat-first (corner/1B/DH)",IF(J26=MAX(H26:K26),"Defense-first (up-the-middle)","Speed-first (CF/leadoff)")))</f>
        <v>Bat-first (corner/1B/DH)</v>
      </c>
      <c r="Z26" s="5" t="n">
        <f aca="false">P26</f>
        <v>4</v>
      </c>
      <c r="AA26" s="5" t="n">
        <f aca="false">IF(F26="Right",Q26,-1)</f>
        <v>5.2</v>
      </c>
      <c r="AB26" s="5" t="n">
        <f aca="false">R26</f>
        <v>6.6</v>
      </c>
      <c r="AC26" s="5" t="n">
        <f aca="false">IF(F26="Right",S26,-1)</f>
        <v>3.48</v>
      </c>
      <c r="AD26" s="5" t="n">
        <f aca="false">IF(F26="Right",T26,-1)</f>
        <v>5.4</v>
      </c>
      <c r="AE26" s="5" t="n">
        <f aca="false">IF(F26="Right",U26,-1)</f>
        <v>3.7</v>
      </c>
      <c r="AF26" s="5" t="n">
        <f aca="false">V26</f>
        <v>5.8</v>
      </c>
      <c r="AG26" s="5" t="n">
        <f aca="false">W26</f>
        <v>3.5</v>
      </c>
      <c r="AH26" s="5" t="n">
        <f aca="false">X26</f>
        <v>5.68</v>
      </c>
      <c r="AI26" s="4" t="str">
        <f aca="false">INDEX($Z$1:$AH$1,MATCH(MAX(Z26:AH26),Z26:AH26,0))</f>
        <v>1B</v>
      </c>
      <c r="AJ26" s="4" t="n">
        <f aca="false">MAX(Z26:AH26)</f>
        <v>6.6</v>
      </c>
      <c r="AK26" s="4" t="n">
        <f aca="false">SUMPRODUCT(($AI$2:$AI$73=AI26)*($AJ$2:$AJ$73&gt;AJ26))+SUMPRODUCT(($AI$2:$AI$73=AI26)*($AJ$2:$AJ$73=AJ26)*(ROW($AI$2:$AI$73)&lt;ROW(AI26)))+1</f>
        <v>12</v>
      </c>
      <c r="AL26" s="6" t="n">
        <f aca="false">SQRT((H26-'MLB Archetypes'!$C$2)^2+(I26-'MLB Archetypes'!$D$2)^2+(J26-'MLB Archetypes'!$E$2)^2+(K26-'MLB Archetypes'!$F$2)^2)</f>
        <v>8.60232526704263</v>
      </c>
      <c r="AM26" s="6" t="n">
        <f aca="false">SQRT((H26-'MLB Archetypes'!$C$3)^2+(I26-'MLB Archetypes'!$D$3)^2+(J26-'MLB Archetypes'!$E$3)^2+(K26-'MLB Archetypes'!$F$3)^2)</f>
        <v>7.41619848709566</v>
      </c>
      <c r="AN26" s="6" t="n">
        <f aca="false">SQRT((H26-'MLB Archetypes'!$C$4)^2+(I26-'MLB Archetypes'!$D$4)^2+(J26-'MLB Archetypes'!$E$4)^2+(K26-'MLB Archetypes'!$F$4)^2)</f>
        <v>5.56776436283002</v>
      </c>
      <c r="AO26" s="6" t="n">
        <f aca="false">SQRT((H26-'MLB Archetypes'!$C$5)^2+(I26-'MLB Archetypes'!$D$5)^2+(J26-'MLB Archetypes'!$E$5)^2+(K26-'MLB Archetypes'!$F$5)^2)</f>
        <v>5.29150262212918</v>
      </c>
      <c r="AP26" s="6" t="n">
        <f aca="false">SQRT((H26-'MLB Archetypes'!$C$6)^2+(I26-'MLB Archetypes'!$D$6)^2+(J26-'MLB Archetypes'!$E$6)^2+(K26-'MLB Archetypes'!$F$6)^2)</f>
        <v>3.16227766016838</v>
      </c>
      <c r="AQ26" s="6" t="n">
        <f aca="false">SQRT((H26-'MLB Archetypes'!$C$7)^2+(I26-'MLB Archetypes'!$D$7)^2+(J26-'MLB Archetypes'!$E$7)^2+(K26-'MLB Archetypes'!$F$7)^2)</f>
        <v>6.08276253029822</v>
      </c>
      <c r="AR26" s="6" t="n">
        <f aca="false">SQRT((H26-'MLB Archetypes'!$C$8)^2+(I26-'MLB Archetypes'!$D$8)^2+(J26-'MLB Archetypes'!$E$8)^2+(K26-'MLB Archetypes'!$F$8)^2)</f>
        <v>7.28010988928052</v>
      </c>
      <c r="AS26" s="6" t="n">
        <f aca="false">SQRT((H26-'MLB Archetypes'!$C$9)^2+(I26-'MLB Archetypes'!$D$9)^2+(J26-'MLB Archetypes'!$E$9)^2+(K26-'MLB Archetypes'!$F$9)^2)</f>
        <v>6.08276253029822</v>
      </c>
      <c r="AT26" s="6" t="n">
        <f aca="false">SQRT((H26-'MLB Archetypes'!$C$10)^2+(I26-'MLB Archetypes'!$D$10)^2+(J26-'MLB Archetypes'!$E$10)^2+(K26-'MLB Archetypes'!$F$10)^2)</f>
        <v>4.89897948556636</v>
      </c>
      <c r="AU26" s="6" t="n">
        <f aca="false">SQRT((H26-'MLB Archetypes'!$C$11)^2+(I26-'MLB Archetypes'!$D$11)^2+(J26-'MLB Archetypes'!$E$11)^2+(K26-'MLB Archetypes'!$F$11)^2)</f>
        <v>3.60555127546399</v>
      </c>
      <c r="AV26" s="6" t="n">
        <f aca="false">SQRT((H26-'MLB Archetypes'!$C$12)^2+(I26-'MLB Archetypes'!$D$12)^2+(J26-'MLB Archetypes'!$E$12)^2+(K26-'MLB Archetypes'!$F$12)^2)</f>
        <v>9.48683298050514</v>
      </c>
      <c r="AW26" s="6" t="n">
        <f aca="false">SQRT((H26-'MLB Archetypes'!$C$13)^2+(I26-'MLB Archetypes'!$D$13)^2+(J26-'MLB Archetypes'!$E$13)^2+(K26-'MLB Archetypes'!$F$13)^2)</f>
        <v>3.87298334620742</v>
      </c>
      <c r="AX26" s="6" t="n">
        <f aca="false">SQRT((H26-'MLB Archetypes'!$C$14)^2+(I26-'MLB Archetypes'!$D$14)^2+(J26-'MLB Archetypes'!$E$14)^2+(K26-'MLB Archetypes'!$F$14)^2)</f>
        <v>4.24264068711929</v>
      </c>
      <c r="AY26" s="6" t="n">
        <f aca="false">SQRT((H26-'MLB Archetypes'!$C$15)^2+(I26-'MLB Archetypes'!$D$15)^2+(J26-'MLB Archetypes'!$E$15)^2+(K26-'MLB Archetypes'!$F$15)^2)</f>
        <v>8.54400374531753</v>
      </c>
      <c r="AZ26" s="6" t="n">
        <f aca="false">SQRT((H26-'MLB Archetypes'!$C$16)^2+(I26-'MLB Archetypes'!$D$16)^2+(J26-'MLB Archetypes'!$E$16)^2+(K26-'MLB Archetypes'!$F$16)^2)</f>
        <v>8.06225774829855</v>
      </c>
      <c r="BA26" s="6" t="n">
        <f aca="false">SQRT((H26-'MLB Archetypes'!$C$17)^2+(I26-'MLB Archetypes'!$D$17)^2+(J26-'MLB Archetypes'!$E$17)^2+(K26-'MLB Archetypes'!$F$17)^2)</f>
        <v>7.93725393319377</v>
      </c>
      <c r="BB26" s="6" t="n">
        <f aca="false">SQRT((H26-'MLB Archetypes'!$C$18)^2+(I26-'MLB Archetypes'!$D$18)^2+(J26-'MLB Archetypes'!$E$18)^2+(K26-'MLB Archetypes'!$F$18)^2)</f>
        <v>4.24264068711929</v>
      </c>
      <c r="BC26" s="6" t="n">
        <f aca="false">SQRT((H26-'MLB Archetypes'!$C$19)^2+(I26-'MLB Archetypes'!$D$19)^2+(J26-'MLB Archetypes'!$E$19)^2+(K26-'MLB Archetypes'!$F$19)^2)</f>
        <v>6.08276253029822</v>
      </c>
      <c r="BD26" s="4" t="str">
        <f aca="false">INDEX('MLB Archetypes'!$B$2:$B$19,MATCH(MIN(AL26:BC26),AL26:BC26,0))</f>
        <v>Albert Pujols</v>
      </c>
      <c r="BE26" s="7" t="n">
        <f aca="false">ROUND(10-MIN(AL26:BC26)/1.8,1)</f>
        <v>8.2</v>
      </c>
    </row>
    <row r="27" customFormat="false" ht="15" hidden="false" customHeight="false" outlineLevel="0" collapsed="false">
      <c r="A27" s="2" t="s">
        <v>90</v>
      </c>
      <c r="B27" s="2" t="s">
        <v>49</v>
      </c>
      <c r="C27" s="2" t="s">
        <v>91</v>
      </c>
      <c r="D27" s="2" t="s">
        <v>51</v>
      </c>
      <c r="E27" s="2" t="s">
        <v>50</v>
      </c>
      <c r="F27" s="2" t="s">
        <v>52</v>
      </c>
      <c r="G27" s="2" t="s">
        <v>57</v>
      </c>
      <c r="H27" s="3" t="n">
        <v>5</v>
      </c>
      <c r="I27" s="3" t="n">
        <v>4</v>
      </c>
      <c r="J27" s="3" t="n">
        <v>4</v>
      </c>
      <c r="K27" s="3" t="n">
        <v>7</v>
      </c>
      <c r="L27" s="4" t="n">
        <f aca="false">H27+I27+J27+K27</f>
        <v>20</v>
      </c>
      <c r="M27" s="4" t="n">
        <f aca="false">ROUND(0.75*I27+0.25*K27,2)</f>
        <v>4.75</v>
      </c>
      <c r="N27" s="4" t="n">
        <f aca="false">ROUND(0.7*J27+0.3*K27,2)</f>
        <v>4.9</v>
      </c>
      <c r="O27" s="4" t="n">
        <f aca="false">ROUND((H27+J27+K27)/3,2)</f>
        <v>5.33</v>
      </c>
      <c r="P27" s="4" t="n">
        <f aca="false">ROUND(0.85*H27+0.15*J27,2)</f>
        <v>4.85</v>
      </c>
      <c r="Q27" s="4" t="n">
        <f aca="false">ROUND(0.6*J27+0.3*I27+0.1*H27,2)</f>
        <v>4.1</v>
      </c>
      <c r="R27" s="4" t="n">
        <f aca="false">ROUND(0.7*I27+0.2*J27+0.1*K27,2)</f>
        <v>4.3</v>
      </c>
      <c r="S27" s="4" t="n">
        <f aca="false">ROUND(0.13*I27+0.35*J27+0.52*K27,2)</f>
        <v>5.56</v>
      </c>
      <c r="T27" s="4" t="n">
        <f aca="false">ROUND(0.4*I27+0.5*J27+0.1*K27,2)</f>
        <v>4.3</v>
      </c>
      <c r="U27" s="4" t="n">
        <f aca="false">ROUND(0.1*I27+0.55*J27+0.35*K27,2)</f>
        <v>5.05</v>
      </c>
      <c r="V27" s="4" t="n">
        <f aca="false">ROUND(0.6*I27+0.1*J27+0.3*K27,2)</f>
        <v>4.9</v>
      </c>
      <c r="W27" s="4" t="n">
        <f aca="false">ROUND(0.15*I27+0.3*J27+0.55*K27,2)</f>
        <v>5.65</v>
      </c>
      <c r="X27" s="4" t="n">
        <f aca="false">ROUND(0.46*I27+0.46*J27+0.08*K27,2)</f>
        <v>4.24</v>
      </c>
      <c r="Y27" s="4" t="str">
        <f aca="false">IF(H27=MAX(H27:K27),"Pitcher (arm-first)",IF(I27=MAX(H27:K27),"Bat-first (corner/1B/DH)",IF(J27=MAX(H27:K27),"Defense-first (up-the-middle)","Speed-first (CF/leadoff)")))</f>
        <v>Speed-first (CF/leadoff)</v>
      </c>
      <c r="Z27" s="5" t="n">
        <f aca="false">P27</f>
        <v>4.85</v>
      </c>
      <c r="AA27" s="5" t="n">
        <f aca="false">IF(F27="Right",Q27,-1)</f>
        <v>4.1</v>
      </c>
      <c r="AB27" s="5" t="n">
        <f aca="false">R27</f>
        <v>4.3</v>
      </c>
      <c r="AC27" s="5" t="n">
        <f aca="false">IF(F27="Right",S27,-1)</f>
        <v>5.56</v>
      </c>
      <c r="AD27" s="5" t="n">
        <f aca="false">IF(F27="Right",T27,-1)</f>
        <v>4.3</v>
      </c>
      <c r="AE27" s="5" t="n">
        <f aca="false">IF(F27="Right",U27,-1)</f>
        <v>5.05</v>
      </c>
      <c r="AF27" s="5" t="n">
        <f aca="false">V27</f>
        <v>4.9</v>
      </c>
      <c r="AG27" s="5" t="n">
        <f aca="false">W27</f>
        <v>5.65</v>
      </c>
      <c r="AH27" s="5" t="n">
        <f aca="false">X27</f>
        <v>4.24</v>
      </c>
      <c r="AI27" s="4" t="str">
        <f aca="false">INDEX($Z$1:$AH$1,MATCH(MAX(Z27:AH27),Z27:AH27,0))</f>
        <v>CF</v>
      </c>
      <c r="AJ27" s="4" t="n">
        <f aca="false">MAX(Z27:AH27)</f>
        <v>5.65</v>
      </c>
      <c r="AK27" s="4" t="n">
        <f aca="false">SUMPRODUCT(($AI$2:$AI$73=AI27)*($AJ$2:$AJ$73&gt;AJ27))+SUMPRODUCT(($AI$2:$AI$73=AI27)*($AJ$2:$AJ$73=AJ27)*(ROW($AI$2:$AI$73)&lt;ROW(AI27)))+1</f>
        <v>11</v>
      </c>
      <c r="AL27" s="6" t="n">
        <f aca="false">SQRT((H27-'MLB Archetypes'!$C$2)^2+(I27-'MLB Archetypes'!$D$2)^2+(J27-'MLB Archetypes'!$E$2)^2+(K27-'MLB Archetypes'!$F$2)^2)</f>
        <v>6.78232998312527</v>
      </c>
      <c r="AM27" s="6" t="n">
        <f aca="false">SQRT((H27-'MLB Archetypes'!$C$3)^2+(I27-'MLB Archetypes'!$D$3)^2+(J27-'MLB Archetypes'!$E$3)^2+(K27-'MLB Archetypes'!$F$3)^2)</f>
        <v>6.08276253029822</v>
      </c>
      <c r="AN27" s="6" t="n">
        <f aca="false">SQRT((H27-'MLB Archetypes'!$C$4)^2+(I27-'MLB Archetypes'!$D$4)^2+(J27-'MLB Archetypes'!$E$4)^2+(K27-'MLB Archetypes'!$F$4)^2)</f>
        <v>7.68114574786861</v>
      </c>
      <c r="AO27" s="6" t="n">
        <f aca="false">SQRT((H27-'MLB Archetypes'!$C$5)^2+(I27-'MLB Archetypes'!$D$5)^2+(J27-'MLB Archetypes'!$E$5)^2+(K27-'MLB Archetypes'!$F$5)^2)</f>
        <v>6.16441400296898</v>
      </c>
      <c r="AP27" s="6" t="n">
        <f aca="false">SQRT((H27-'MLB Archetypes'!$C$6)^2+(I27-'MLB Archetypes'!$D$6)^2+(J27-'MLB Archetypes'!$E$6)^2+(K27-'MLB Archetypes'!$F$6)^2)</f>
        <v>7.34846922834953</v>
      </c>
      <c r="AQ27" s="6" t="n">
        <f aca="false">SQRT((H27-'MLB Archetypes'!$C$7)^2+(I27-'MLB Archetypes'!$D$7)^2+(J27-'MLB Archetypes'!$E$7)^2+(K27-'MLB Archetypes'!$F$7)^2)</f>
        <v>6.85565460040104</v>
      </c>
      <c r="AR27" s="6" t="n">
        <f aca="false">SQRT((H27-'MLB Archetypes'!$C$8)^2+(I27-'MLB Archetypes'!$D$8)^2+(J27-'MLB Archetypes'!$E$8)^2+(K27-'MLB Archetypes'!$F$8)^2)</f>
        <v>4.79583152331272</v>
      </c>
      <c r="AS27" s="6" t="n">
        <f aca="false">SQRT((H27-'MLB Archetypes'!$C$9)^2+(I27-'MLB Archetypes'!$D$9)^2+(J27-'MLB Archetypes'!$E$9)^2+(K27-'MLB Archetypes'!$F$9)^2)</f>
        <v>5.91607978309962</v>
      </c>
      <c r="AT27" s="6" t="n">
        <f aca="false">SQRT((H27-'MLB Archetypes'!$C$10)^2+(I27-'MLB Archetypes'!$D$10)^2+(J27-'MLB Archetypes'!$E$10)^2+(K27-'MLB Archetypes'!$F$10)^2)</f>
        <v>7.07106781186548</v>
      </c>
      <c r="AU27" s="6" t="n">
        <f aca="false">SQRT((H27-'MLB Archetypes'!$C$11)^2+(I27-'MLB Archetypes'!$D$11)^2+(J27-'MLB Archetypes'!$E$11)^2+(K27-'MLB Archetypes'!$F$11)^2)</f>
        <v>6.85565460040104</v>
      </c>
      <c r="AV27" s="6" t="n">
        <f aca="false">SQRT((H27-'MLB Archetypes'!$C$12)^2+(I27-'MLB Archetypes'!$D$12)^2+(J27-'MLB Archetypes'!$E$12)^2+(K27-'MLB Archetypes'!$F$12)^2)</f>
        <v>6.78232998312527</v>
      </c>
      <c r="AW27" s="6" t="n">
        <f aca="false">SQRT((H27-'MLB Archetypes'!$C$13)^2+(I27-'MLB Archetypes'!$D$13)^2+(J27-'MLB Archetypes'!$E$13)^2+(K27-'MLB Archetypes'!$F$13)^2)</f>
        <v>6.557438524302</v>
      </c>
      <c r="AX27" s="6" t="n">
        <f aca="false">SQRT((H27-'MLB Archetypes'!$C$14)^2+(I27-'MLB Archetypes'!$D$14)^2+(J27-'MLB Archetypes'!$E$14)^2+(K27-'MLB Archetypes'!$F$14)^2)</f>
        <v>6.48074069840786</v>
      </c>
      <c r="AY27" s="6" t="n">
        <f aca="false">SQRT((H27-'MLB Archetypes'!$C$15)^2+(I27-'MLB Archetypes'!$D$15)^2+(J27-'MLB Archetypes'!$E$15)^2+(K27-'MLB Archetypes'!$F$15)^2)</f>
        <v>4.79583152331272</v>
      </c>
      <c r="AZ27" s="6" t="n">
        <f aca="false">SQRT((H27-'MLB Archetypes'!$C$16)^2+(I27-'MLB Archetypes'!$D$16)^2+(J27-'MLB Archetypes'!$E$16)^2+(K27-'MLB Archetypes'!$F$16)^2)</f>
        <v>7.14142842854285</v>
      </c>
      <c r="BA27" s="6" t="n">
        <f aca="false">SQRT((H27-'MLB Archetypes'!$C$17)^2+(I27-'MLB Archetypes'!$D$17)^2+(J27-'MLB Archetypes'!$E$17)^2+(K27-'MLB Archetypes'!$F$17)^2)</f>
        <v>5.56776436283002</v>
      </c>
      <c r="BB27" s="6" t="n">
        <f aca="false">SQRT((H27-'MLB Archetypes'!$C$18)^2+(I27-'MLB Archetypes'!$D$18)^2+(J27-'MLB Archetypes'!$E$18)^2+(K27-'MLB Archetypes'!$F$18)^2)</f>
        <v>6.48074069840786</v>
      </c>
      <c r="BC27" s="6" t="n">
        <f aca="false">SQRT((H27-'MLB Archetypes'!$C$19)^2+(I27-'MLB Archetypes'!$D$19)^2+(J27-'MLB Archetypes'!$E$19)^2+(K27-'MLB Archetypes'!$F$19)^2)</f>
        <v>5.91607978309962</v>
      </c>
      <c r="BD27" s="4" t="str">
        <f aca="false">INDEX('MLB Archetypes'!$B$2:$B$19,MATCH(MIN(AL27:BC27),AL27:BC27,0))</f>
        <v>Jackie Robinson</v>
      </c>
      <c r="BE27" s="7" t="n">
        <f aca="false">ROUND(10-MIN(AL27:BC27)/1.8,1)</f>
        <v>7.3</v>
      </c>
    </row>
    <row r="28" customFormat="false" ht="15" hidden="false" customHeight="false" outlineLevel="0" collapsed="false">
      <c r="A28" s="2" t="s">
        <v>92</v>
      </c>
      <c r="B28" s="2" t="s">
        <v>49</v>
      </c>
      <c r="C28" s="2" t="s">
        <v>91</v>
      </c>
      <c r="D28" s="2" t="s">
        <v>51</v>
      </c>
      <c r="E28" s="2" t="s">
        <v>50</v>
      </c>
      <c r="F28" s="2" t="s">
        <v>52</v>
      </c>
      <c r="G28" s="2" t="s">
        <v>57</v>
      </c>
      <c r="H28" s="3" t="n">
        <v>4</v>
      </c>
      <c r="I28" s="3" t="n">
        <v>4</v>
      </c>
      <c r="J28" s="3" t="n">
        <v>5</v>
      </c>
      <c r="K28" s="3" t="n">
        <v>7</v>
      </c>
      <c r="L28" s="4" t="n">
        <f aca="false">H28+I28+J28+K28</f>
        <v>20</v>
      </c>
      <c r="M28" s="4" t="n">
        <f aca="false">ROUND(0.75*I28+0.25*K28,2)</f>
        <v>4.75</v>
      </c>
      <c r="N28" s="4" t="n">
        <f aca="false">ROUND(0.7*J28+0.3*K28,2)</f>
        <v>5.6</v>
      </c>
      <c r="O28" s="4" t="n">
        <f aca="false">ROUND((H28+J28+K28)/3,2)</f>
        <v>5.33</v>
      </c>
      <c r="P28" s="4" t="n">
        <f aca="false">ROUND(0.85*H28+0.15*J28,2)</f>
        <v>4.15</v>
      </c>
      <c r="Q28" s="4" t="n">
        <f aca="false">ROUND(0.6*J28+0.3*I28+0.1*H28,2)</f>
        <v>4.6</v>
      </c>
      <c r="R28" s="4" t="n">
        <f aca="false">ROUND(0.7*I28+0.2*J28+0.1*K28,2)</f>
        <v>4.5</v>
      </c>
      <c r="S28" s="4" t="n">
        <f aca="false">ROUND(0.13*I28+0.35*J28+0.52*K28,2)</f>
        <v>5.91</v>
      </c>
      <c r="T28" s="4" t="n">
        <f aca="false">ROUND(0.4*I28+0.5*J28+0.1*K28,2)</f>
        <v>4.8</v>
      </c>
      <c r="U28" s="4" t="n">
        <f aca="false">ROUND(0.1*I28+0.55*J28+0.35*K28,2)</f>
        <v>5.6</v>
      </c>
      <c r="V28" s="4" t="n">
        <f aca="false">ROUND(0.6*I28+0.1*J28+0.3*K28,2)</f>
        <v>5</v>
      </c>
      <c r="W28" s="4" t="n">
        <f aca="false">ROUND(0.15*I28+0.3*J28+0.55*K28,2)</f>
        <v>5.95</v>
      </c>
      <c r="X28" s="4" t="n">
        <f aca="false">ROUND(0.46*I28+0.46*J28+0.08*K28,2)</f>
        <v>4.7</v>
      </c>
      <c r="Y28" s="4" t="str">
        <f aca="false">IF(H28=MAX(H28:K28),"Pitcher (arm-first)",IF(I28=MAX(H28:K28),"Bat-first (corner/1B/DH)",IF(J28=MAX(H28:K28),"Defense-first (up-the-middle)","Speed-first (CF/leadoff)")))</f>
        <v>Speed-first (CF/leadoff)</v>
      </c>
      <c r="Z28" s="5" t="n">
        <f aca="false">P28</f>
        <v>4.15</v>
      </c>
      <c r="AA28" s="5" t="n">
        <f aca="false">IF(F28="Right",Q28,-1)</f>
        <v>4.6</v>
      </c>
      <c r="AB28" s="5" t="n">
        <f aca="false">R28</f>
        <v>4.5</v>
      </c>
      <c r="AC28" s="5" t="n">
        <f aca="false">IF(F28="Right",S28,-1)</f>
        <v>5.91</v>
      </c>
      <c r="AD28" s="5" t="n">
        <f aca="false">IF(F28="Right",T28,-1)</f>
        <v>4.8</v>
      </c>
      <c r="AE28" s="5" t="n">
        <f aca="false">IF(F28="Right",U28,-1)</f>
        <v>5.6</v>
      </c>
      <c r="AF28" s="5" t="n">
        <f aca="false">V28</f>
        <v>5</v>
      </c>
      <c r="AG28" s="5" t="n">
        <f aca="false">W28</f>
        <v>5.95</v>
      </c>
      <c r="AH28" s="5" t="n">
        <f aca="false">X28</f>
        <v>4.7</v>
      </c>
      <c r="AI28" s="4" t="str">
        <f aca="false">INDEX($Z$1:$AH$1,MATCH(MAX(Z28:AH28),Z28:AH28,0))</f>
        <v>CF</v>
      </c>
      <c r="AJ28" s="4" t="n">
        <f aca="false">MAX(Z28:AH28)</f>
        <v>5.95</v>
      </c>
      <c r="AK28" s="4" t="n">
        <f aca="false">SUMPRODUCT(($AI$2:$AI$73=AI28)*($AJ$2:$AJ$73&gt;AJ28))+SUMPRODUCT(($AI$2:$AI$73=AI28)*($AJ$2:$AJ$73=AJ28)*(ROW($AI$2:$AI$73)&lt;ROW(AI28)))+1</f>
        <v>7</v>
      </c>
      <c r="AL28" s="6" t="n">
        <f aca="false">SQRT((H28-'MLB Archetypes'!$C$2)^2+(I28-'MLB Archetypes'!$D$2)^2+(J28-'MLB Archetypes'!$E$2)^2+(K28-'MLB Archetypes'!$F$2)^2)</f>
        <v>7.48331477354788</v>
      </c>
      <c r="AM28" s="6" t="n">
        <f aca="false">SQRT((H28-'MLB Archetypes'!$C$3)^2+(I28-'MLB Archetypes'!$D$3)^2+(J28-'MLB Archetypes'!$E$3)^2+(K28-'MLB Archetypes'!$F$3)^2)</f>
        <v>6.557438524302</v>
      </c>
      <c r="AN28" s="6" t="n">
        <f aca="false">SQRT((H28-'MLB Archetypes'!$C$4)^2+(I28-'MLB Archetypes'!$D$4)^2+(J28-'MLB Archetypes'!$E$4)^2+(K28-'MLB Archetypes'!$F$4)^2)</f>
        <v>6.70820393249937</v>
      </c>
      <c r="AO28" s="6" t="n">
        <f aca="false">SQRT((H28-'MLB Archetypes'!$C$5)^2+(I28-'MLB Archetypes'!$D$5)^2+(J28-'MLB Archetypes'!$E$5)^2+(K28-'MLB Archetypes'!$F$5)^2)</f>
        <v>5.09901951359278</v>
      </c>
      <c r="AP28" s="6" t="n">
        <f aca="false">SQRT((H28-'MLB Archetypes'!$C$6)^2+(I28-'MLB Archetypes'!$D$6)^2+(J28-'MLB Archetypes'!$E$6)^2+(K28-'MLB Archetypes'!$F$6)^2)</f>
        <v>6.78232998312527</v>
      </c>
      <c r="AQ28" s="6" t="n">
        <f aca="false">SQRT((H28-'MLB Archetypes'!$C$7)^2+(I28-'MLB Archetypes'!$D$7)^2+(J28-'MLB Archetypes'!$E$7)^2+(K28-'MLB Archetypes'!$F$7)^2)</f>
        <v>5.74456264653803</v>
      </c>
      <c r="AR28" s="6" t="n">
        <f aca="false">SQRT((H28-'MLB Archetypes'!$C$8)^2+(I28-'MLB Archetypes'!$D$8)^2+(J28-'MLB Archetypes'!$E$8)^2+(K28-'MLB Archetypes'!$F$8)^2)</f>
        <v>3.60555127546399</v>
      </c>
      <c r="AS28" s="6" t="n">
        <f aca="false">SQRT((H28-'MLB Archetypes'!$C$9)^2+(I28-'MLB Archetypes'!$D$9)^2+(J28-'MLB Archetypes'!$E$9)^2+(K28-'MLB Archetypes'!$F$9)^2)</f>
        <v>4.79583152331272</v>
      </c>
      <c r="AT28" s="6" t="n">
        <f aca="false">SQRT((H28-'MLB Archetypes'!$C$10)^2+(I28-'MLB Archetypes'!$D$10)^2+(J28-'MLB Archetypes'!$E$10)^2+(K28-'MLB Archetypes'!$F$10)^2)</f>
        <v>6.16441400296898</v>
      </c>
      <c r="AU28" s="6" t="n">
        <f aca="false">SQRT((H28-'MLB Archetypes'!$C$11)^2+(I28-'MLB Archetypes'!$D$11)^2+(J28-'MLB Archetypes'!$E$11)^2+(K28-'MLB Archetypes'!$F$11)^2)</f>
        <v>6.2449979983984</v>
      </c>
      <c r="AV28" s="6" t="n">
        <f aca="false">SQRT((H28-'MLB Archetypes'!$C$12)^2+(I28-'MLB Archetypes'!$D$12)^2+(J28-'MLB Archetypes'!$E$12)^2+(K28-'MLB Archetypes'!$F$12)^2)</f>
        <v>5.47722557505166</v>
      </c>
      <c r="AW28" s="6" t="n">
        <f aca="false">SQRT((H28-'MLB Archetypes'!$C$13)^2+(I28-'MLB Archetypes'!$D$13)^2+(J28-'MLB Archetypes'!$E$13)^2+(K28-'MLB Archetypes'!$F$13)^2)</f>
        <v>5.74456264653803</v>
      </c>
      <c r="AX28" s="6" t="n">
        <f aca="false">SQRT((H28-'MLB Archetypes'!$C$14)^2+(I28-'MLB Archetypes'!$D$14)^2+(J28-'MLB Archetypes'!$E$14)^2+(K28-'MLB Archetypes'!$F$14)^2)</f>
        <v>5.8309518948453</v>
      </c>
      <c r="AY28" s="6" t="n">
        <f aca="false">SQRT((H28-'MLB Archetypes'!$C$15)^2+(I28-'MLB Archetypes'!$D$15)^2+(J28-'MLB Archetypes'!$E$15)^2+(K28-'MLB Archetypes'!$F$15)^2)</f>
        <v>4.12310562561766</v>
      </c>
      <c r="AZ28" s="6" t="n">
        <f aca="false">SQRT((H28-'MLB Archetypes'!$C$16)^2+(I28-'MLB Archetypes'!$D$16)^2+(J28-'MLB Archetypes'!$E$16)^2+(K28-'MLB Archetypes'!$F$16)^2)</f>
        <v>6.08276253029822</v>
      </c>
      <c r="BA28" s="6" t="n">
        <f aca="false">SQRT((H28-'MLB Archetypes'!$C$17)^2+(I28-'MLB Archetypes'!$D$17)^2+(J28-'MLB Archetypes'!$E$17)^2+(K28-'MLB Archetypes'!$F$17)^2)</f>
        <v>4.58257569495584</v>
      </c>
      <c r="BB28" s="6" t="n">
        <f aca="false">SQRT((H28-'MLB Archetypes'!$C$18)^2+(I28-'MLB Archetypes'!$D$18)^2+(J28-'MLB Archetypes'!$E$18)^2+(K28-'MLB Archetypes'!$F$18)^2)</f>
        <v>5.8309518948453</v>
      </c>
      <c r="BC28" s="6" t="n">
        <f aca="false">SQRT((H28-'MLB Archetypes'!$C$19)^2+(I28-'MLB Archetypes'!$D$19)^2+(J28-'MLB Archetypes'!$E$19)^2+(K28-'MLB Archetypes'!$F$19)^2)</f>
        <v>4.79583152331272</v>
      </c>
      <c r="BD28" s="4" t="str">
        <f aca="false">INDEX('MLB Archetypes'!$B$2:$B$19,MATCH(MIN(AL28:BC28),AL28:BC28,0))</f>
        <v>Jackie Robinson</v>
      </c>
      <c r="BE28" s="7" t="n">
        <f aca="false">ROUND(10-MIN(AL28:BC28)/1.8,1)</f>
        <v>8</v>
      </c>
    </row>
    <row r="29" customFormat="false" ht="15" hidden="false" customHeight="false" outlineLevel="0" collapsed="false">
      <c r="A29" s="2" t="s">
        <v>93</v>
      </c>
      <c r="B29" s="2" t="s">
        <v>49</v>
      </c>
      <c r="C29" s="2" t="s">
        <v>91</v>
      </c>
      <c r="D29" s="2" t="s">
        <v>51</v>
      </c>
      <c r="E29" s="2" t="s">
        <v>50</v>
      </c>
      <c r="F29" s="2" t="s">
        <v>52</v>
      </c>
      <c r="G29" s="2" t="s">
        <v>57</v>
      </c>
      <c r="H29" s="3" t="n">
        <v>4</v>
      </c>
      <c r="I29" s="3" t="n">
        <v>5</v>
      </c>
      <c r="J29" s="3" t="n">
        <v>4</v>
      </c>
      <c r="K29" s="3" t="n">
        <v>7</v>
      </c>
      <c r="L29" s="4" t="n">
        <f aca="false">H29+I29+J29+K29</f>
        <v>20</v>
      </c>
      <c r="M29" s="4" t="n">
        <f aca="false">ROUND(0.75*I29+0.25*K29,2)</f>
        <v>5.5</v>
      </c>
      <c r="N29" s="4" t="n">
        <f aca="false">ROUND(0.7*J29+0.3*K29,2)</f>
        <v>4.9</v>
      </c>
      <c r="O29" s="4" t="n">
        <f aca="false">ROUND((H29+J29+K29)/3,2)</f>
        <v>5</v>
      </c>
      <c r="P29" s="4" t="n">
        <f aca="false">ROUND(0.85*H29+0.15*J29,2)</f>
        <v>4</v>
      </c>
      <c r="Q29" s="4" t="n">
        <f aca="false">ROUND(0.6*J29+0.3*I29+0.1*H29,2)</f>
        <v>4.3</v>
      </c>
      <c r="R29" s="4" t="n">
        <f aca="false">ROUND(0.7*I29+0.2*J29+0.1*K29,2)</f>
        <v>5</v>
      </c>
      <c r="S29" s="4" t="n">
        <f aca="false">ROUND(0.13*I29+0.35*J29+0.52*K29,2)</f>
        <v>5.69</v>
      </c>
      <c r="T29" s="4" t="n">
        <f aca="false">ROUND(0.4*I29+0.5*J29+0.1*K29,2)</f>
        <v>4.7</v>
      </c>
      <c r="U29" s="4" t="n">
        <f aca="false">ROUND(0.1*I29+0.55*J29+0.35*K29,2)</f>
        <v>5.15</v>
      </c>
      <c r="V29" s="4" t="n">
        <f aca="false">ROUND(0.6*I29+0.1*J29+0.3*K29,2)</f>
        <v>5.5</v>
      </c>
      <c r="W29" s="4" t="n">
        <f aca="false">ROUND(0.15*I29+0.3*J29+0.55*K29,2)</f>
        <v>5.8</v>
      </c>
      <c r="X29" s="4" t="n">
        <f aca="false">ROUND(0.46*I29+0.46*J29+0.08*K29,2)</f>
        <v>4.7</v>
      </c>
      <c r="Y29" s="4" t="str">
        <f aca="false">IF(H29=MAX(H29:K29),"Pitcher (arm-first)",IF(I29=MAX(H29:K29),"Bat-first (corner/1B/DH)",IF(J29=MAX(H29:K29),"Defense-first (up-the-middle)","Speed-first (CF/leadoff)")))</f>
        <v>Speed-first (CF/leadoff)</v>
      </c>
      <c r="Z29" s="5" t="n">
        <f aca="false">P29</f>
        <v>4</v>
      </c>
      <c r="AA29" s="5" t="n">
        <f aca="false">IF(F29="Right",Q29,-1)</f>
        <v>4.3</v>
      </c>
      <c r="AB29" s="5" t="n">
        <f aca="false">R29</f>
        <v>5</v>
      </c>
      <c r="AC29" s="5" t="n">
        <f aca="false">IF(F29="Right",S29,-1)</f>
        <v>5.69</v>
      </c>
      <c r="AD29" s="5" t="n">
        <f aca="false">IF(F29="Right",T29,-1)</f>
        <v>4.7</v>
      </c>
      <c r="AE29" s="5" t="n">
        <f aca="false">IF(F29="Right",U29,-1)</f>
        <v>5.15</v>
      </c>
      <c r="AF29" s="5" t="n">
        <f aca="false">V29</f>
        <v>5.5</v>
      </c>
      <c r="AG29" s="5" t="n">
        <f aca="false">W29</f>
        <v>5.8</v>
      </c>
      <c r="AH29" s="5" t="n">
        <f aca="false">X29</f>
        <v>4.7</v>
      </c>
      <c r="AI29" s="4" t="str">
        <f aca="false">INDEX($Z$1:$AH$1,MATCH(MAX(Z29:AH29),Z29:AH29,0))</f>
        <v>CF</v>
      </c>
      <c r="AJ29" s="4" t="n">
        <f aca="false">MAX(Z29:AH29)</f>
        <v>5.8</v>
      </c>
      <c r="AK29" s="4" t="n">
        <f aca="false">SUMPRODUCT(($AI$2:$AI$73=AI29)*($AJ$2:$AJ$73&gt;AJ29))+SUMPRODUCT(($AI$2:$AI$73=AI29)*($AJ$2:$AJ$73=AJ29)*(ROW($AI$2:$AI$73)&lt;ROW(AI29)))+1</f>
        <v>9</v>
      </c>
      <c r="AL29" s="6" t="n">
        <f aca="false">SQRT((H29-'MLB Archetypes'!$C$2)^2+(I29-'MLB Archetypes'!$D$2)^2+(J29-'MLB Archetypes'!$E$2)^2+(K29-'MLB Archetypes'!$F$2)^2)</f>
        <v>7.87400787401181</v>
      </c>
      <c r="AM29" s="6" t="n">
        <f aca="false">SQRT((H29-'MLB Archetypes'!$C$3)^2+(I29-'MLB Archetypes'!$D$3)^2+(J29-'MLB Archetypes'!$E$3)^2+(K29-'MLB Archetypes'!$F$3)^2)</f>
        <v>7</v>
      </c>
      <c r="AN29" s="6" t="n">
        <f aca="false">SQRT((H29-'MLB Archetypes'!$C$4)^2+(I29-'MLB Archetypes'!$D$4)^2+(J29-'MLB Archetypes'!$E$4)^2+(K29-'MLB Archetypes'!$F$4)^2)</f>
        <v>7</v>
      </c>
      <c r="AO29" s="6" t="n">
        <f aca="false">SQRT((H29-'MLB Archetypes'!$C$5)^2+(I29-'MLB Archetypes'!$D$5)^2+(J29-'MLB Archetypes'!$E$5)^2+(K29-'MLB Archetypes'!$F$5)^2)</f>
        <v>5.47722557505166</v>
      </c>
      <c r="AP29" s="6" t="n">
        <f aca="false">SQRT((H29-'MLB Archetypes'!$C$6)^2+(I29-'MLB Archetypes'!$D$6)^2+(J29-'MLB Archetypes'!$E$6)^2+(K29-'MLB Archetypes'!$F$6)^2)</f>
        <v>6.32455532033676</v>
      </c>
      <c r="AQ29" s="6" t="n">
        <f aca="false">SQRT((H29-'MLB Archetypes'!$C$7)^2+(I29-'MLB Archetypes'!$D$7)^2+(J29-'MLB Archetypes'!$E$7)^2+(K29-'MLB Archetypes'!$F$7)^2)</f>
        <v>6.2449979983984</v>
      </c>
      <c r="AR29" s="6" t="n">
        <f aca="false">SQRT((H29-'MLB Archetypes'!$C$8)^2+(I29-'MLB Archetypes'!$D$8)^2+(J29-'MLB Archetypes'!$E$8)^2+(K29-'MLB Archetypes'!$F$8)^2)</f>
        <v>3.87298334620742</v>
      </c>
      <c r="AS29" s="6" t="n">
        <f aca="false">SQRT((H29-'MLB Archetypes'!$C$9)^2+(I29-'MLB Archetypes'!$D$9)^2+(J29-'MLB Archetypes'!$E$9)^2+(K29-'MLB Archetypes'!$F$9)^2)</f>
        <v>5</v>
      </c>
      <c r="AT29" s="6" t="n">
        <f aca="false">SQRT((H29-'MLB Archetypes'!$C$10)^2+(I29-'MLB Archetypes'!$D$10)^2+(J29-'MLB Archetypes'!$E$10)^2+(K29-'MLB Archetypes'!$F$10)^2)</f>
        <v>6.16441400296898</v>
      </c>
      <c r="AU29" s="6" t="n">
        <f aca="false">SQRT((H29-'MLB Archetypes'!$C$11)^2+(I29-'MLB Archetypes'!$D$11)^2+(J29-'MLB Archetypes'!$E$11)^2+(K29-'MLB Archetypes'!$F$11)^2)</f>
        <v>5.74456264653803</v>
      </c>
      <c r="AV29" s="6" t="n">
        <f aca="false">SQRT((H29-'MLB Archetypes'!$C$12)^2+(I29-'MLB Archetypes'!$D$12)^2+(J29-'MLB Archetypes'!$E$12)^2+(K29-'MLB Archetypes'!$F$12)^2)</f>
        <v>6.6332495807108</v>
      </c>
      <c r="AW29" s="6" t="n">
        <f aca="false">SQRT((H29-'MLB Archetypes'!$C$13)^2+(I29-'MLB Archetypes'!$D$13)^2+(J29-'MLB Archetypes'!$E$13)^2+(K29-'MLB Archetypes'!$F$13)^2)</f>
        <v>5.74456264653803</v>
      </c>
      <c r="AX29" s="6" t="n">
        <f aca="false">SQRT((H29-'MLB Archetypes'!$C$14)^2+(I29-'MLB Archetypes'!$D$14)^2+(J29-'MLB Archetypes'!$E$14)^2+(K29-'MLB Archetypes'!$F$14)^2)</f>
        <v>5.29150262212918</v>
      </c>
      <c r="AY29" s="6" t="n">
        <f aca="false">SQRT((H29-'MLB Archetypes'!$C$15)^2+(I29-'MLB Archetypes'!$D$15)^2+(J29-'MLB Archetypes'!$E$15)^2+(K29-'MLB Archetypes'!$F$15)^2)</f>
        <v>3.87298334620742</v>
      </c>
      <c r="AZ29" s="6" t="n">
        <f aca="false">SQRT((H29-'MLB Archetypes'!$C$16)^2+(I29-'MLB Archetypes'!$D$16)^2+(J29-'MLB Archetypes'!$E$16)^2+(K29-'MLB Archetypes'!$F$16)^2)</f>
        <v>6.2449979983984</v>
      </c>
      <c r="BA29" s="6" t="n">
        <f aca="false">SQRT((H29-'MLB Archetypes'!$C$17)^2+(I29-'MLB Archetypes'!$D$17)^2+(J29-'MLB Archetypes'!$E$17)^2+(K29-'MLB Archetypes'!$F$17)^2)</f>
        <v>4.58257569495584</v>
      </c>
      <c r="BB29" s="6" t="n">
        <f aca="false">SQRT((H29-'MLB Archetypes'!$C$18)^2+(I29-'MLB Archetypes'!$D$18)^2+(J29-'MLB Archetypes'!$E$18)^2+(K29-'MLB Archetypes'!$F$18)^2)</f>
        <v>5.29150262212918</v>
      </c>
      <c r="BC29" s="6" t="n">
        <f aca="false">SQRT((H29-'MLB Archetypes'!$C$19)^2+(I29-'MLB Archetypes'!$D$19)^2+(J29-'MLB Archetypes'!$E$19)^2+(K29-'MLB Archetypes'!$F$19)^2)</f>
        <v>5</v>
      </c>
      <c r="BD29" s="4" t="str">
        <f aca="false">INDEX('MLB Archetypes'!$B$2:$B$19,MATCH(MIN(AL29:BC29),AL29:BC29,0))</f>
        <v>Jackie Robinson</v>
      </c>
      <c r="BE29" s="7" t="n">
        <f aca="false">ROUND(10-MIN(AL29:BC29)/1.8,1)</f>
        <v>7.8</v>
      </c>
    </row>
    <row r="30" customFormat="false" ht="15" hidden="false" customHeight="false" outlineLevel="0" collapsed="false">
      <c r="A30" s="2" t="s">
        <v>94</v>
      </c>
      <c r="B30" s="2" t="s">
        <v>49</v>
      </c>
      <c r="C30" s="2" t="s">
        <v>94</v>
      </c>
      <c r="D30" s="2" t="s">
        <v>50</v>
      </c>
      <c r="E30" s="2" t="s">
        <v>50</v>
      </c>
      <c r="F30" s="2" t="s">
        <v>52</v>
      </c>
      <c r="G30" s="2" t="s">
        <v>57</v>
      </c>
      <c r="H30" s="3" t="n">
        <v>4</v>
      </c>
      <c r="I30" s="3" t="n">
        <v>4</v>
      </c>
      <c r="J30" s="3" t="n">
        <v>5</v>
      </c>
      <c r="K30" s="3" t="n">
        <v>7</v>
      </c>
      <c r="L30" s="4" t="n">
        <f aca="false">H30+I30+J30+K30</f>
        <v>20</v>
      </c>
      <c r="M30" s="4" t="n">
        <f aca="false">ROUND(0.75*I30+0.25*K30,2)</f>
        <v>4.75</v>
      </c>
      <c r="N30" s="4" t="n">
        <f aca="false">ROUND(0.7*J30+0.3*K30,2)</f>
        <v>5.6</v>
      </c>
      <c r="O30" s="4" t="n">
        <f aca="false">ROUND((H30+J30+K30)/3,2)</f>
        <v>5.33</v>
      </c>
      <c r="P30" s="4" t="n">
        <f aca="false">ROUND(0.85*H30+0.15*J30,2)</f>
        <v>4.15</v>
      </c>
      <c r="Q30" s="4" t="n">
        <f aca="false">ROUND(0.6*J30+0.3*I30+0.1*H30,2)</f>
        <v>4.6</v>
      </c>
      <c r="R30" s="4" t="n">
        <f aca="false">ROUND(0.7*I30+0.2*J30+0.1*K30,2)</f>
        <v>4.5</v>
      </c>
      <c r="S30" s="4" t="n">
        <f aca="false">ROUND(0.13*I30+0.35*J30+0.52*K30,2)</f>
        <v>5.91</v>
      </c>
      <c r="T30" s="4" t="n">
        <f aca="false">ROUND(0.4*I30+0.5*J30+0.1*K30,2)</f>
        <v>4.8</v>
      </c>
      <c r="U30" s="4" t="n">
        <f aca="false">ROUND(0.1*I30+0.55*J30+0.35*K30,2)</f>
        <v>5.6</v>
      </c>
      <c r="V30" s="4" t="n">
        <f aca="false">ROUND(0.6*I30+0.1*J30+0.3*K30,2)</f>
        <v>5</v>
      </c>
      <c r="W30" s="4" t="n">
        <f aca="false">ROUND(0.15*I30+0.3*J30+0.55*K30,2)</f>
        <v>5.95</v>
      </c>
      <c r="X30" s="4" t="n">
        <f aca="false">ROUND(0.46*I30+0.46*J30+0.08*K30,2)</f>
        <v>4.7</v>
      </c>
      <c r="Y30" s="4" t="str">
        <f aca="false">IF(H30=MAX(H30:K30),"Pitcher (arm-first)",IF(I30=MAX(H30:K30),"Bat-first (corner/1B/DH)",IF(J30=MAX(H30:K30),"Defense-first (up-the-middle)","Speed-first (CF/leadoff)")))</f>
        <v>Speed-first (CF/leadoff)</v>
      </c>
      <c r="Z30" s="5" t="n">
        <f aca="false">P30</f>
        <v>4.15</v>
      </c>
      <c r="AA30" s="5" t="n">
        <f aca="false">IF(F30="Right",Q30,-1)</f>
        <v>4.6</v>
      </c>
      <c r="AB30" s="5" t="n">
        <f aca="false">R30</f>
        <v>4.5</v>
      </c>
      <c r="AC30" s="5" t="n">
        <f aca="false">IF(F30="Right",S30,-1)</f>
        <v>5.91</v>
      </c>
      <c r="AD30" s="5" t="n">
        <f aca="false">IF(F30="Right",T30,-1)</f>
        <v>4.8</v>
      </c>
      <c r="AE30" s="5" t="n">
        <f aca="false">IF(F30="Right",U30,-1)</f>
        <v>5.6</v>
      </c>
      <c r="AF30" s="5" t="n">
        <f aca="false">V30</f>
        <v>5</v>
      </c>
      <c r="AG30" s="5" t="n">
        <f aca="false">W30</f>
        <v>5.95</v>
      </c>
      <c r="AH30" s="5" t="n">
        <f aca="false">X30</f>
        <v>4.7</v>
      </c>
      <c r="AI30" s="4" t="str">
        <f aca="false">INDEX($Z$1:$AH$1,MATCH(MAX(Z30:AH30),Z30:AH30,0))</f>
        <v>CF</v>
      </c>
      <c r="AJ30" s="4" t="n">
        <f aca="false">MAX(Z30:AH30)</f>
        <v>5.95</v>
      </c>
      <c r="AK30" s="4" t="n">
        <f aca="false">SUMPRODUCT(($AI$2:$AI$73=AI30)*($AJ$2:$AJ$73&gt;AJ30))+SUMPRODUCT(($AI$2:$AI$73=AI30)*($AJ$2:$AJ$73=AJ30)*(ROW($AI$2:$AI$73)&lt;ROW(AI30)))+1</f>
        <v>8</v>
      </c>
      <c r="AL30" s="6" t="n">
        <f aca="false">SQRT((H30-'MLB Archetypes'!$C$2)^2+(I30-'MLB Archetypes'!$D$2)^2+(J30-'MLB Archetypes'!$E$2)^2+(K30-'MLB Archetypes'!$F$2)^2)</f>
        <v>7.48331477354788</v>
      </c>
      <c r="AM30" s="6" t="n">
        <f aca="false">SQRT((H30-'MLB Archetypes'!$C$3)^2+(I30-'MLB Archetypes'!$D$3)^2+(J30-'MLB Archetypes'!$E$3)^2+(K30-'MLB Archetypes'!$F$3)^2)</f>
        <v>6.557438524302</v>
      </c>
      <c r="AN30" s="6" t="n">
        <f aca="false">SQRT((H30-'MLB Archetypes'!$C$4)^2+(I30-'MLB Archetypes'!$D$4)^2+(J30-'MLB Archetypes'!$E$4)^2+(K30-'MLB Archetypes'!$F$4)^2)</f>
        <v>6.70820393249937</v>
      </c>
      <c r="AO30" s="6" t="n">
        <f aca="false">SQRT((H30-'MLB Archetypes'!$C$5)^2+(I30-'MLB Archetypes'!$D$5)^2+(J30-'MLB Archetypes'!$E$5)^2+(K30-'MLB Archetypes'!$F$5)^2)</f>
        <v>5.09901951359278</v>
      </c>
      <c r="AP30" s="6" t="n">
        <f aca="false">SQRT((H30-'MLB Archetypes'!$C$6)^2+(I30-'MLB Archetypes'!$D$6)^2+(J30-'MLB Archetypes'!$E$6)^2+(K30-'MLB Archetypes'!$F$6)^2)</f>
        <v>6.78232998312527</v>
      </c>
      <c r="AQ30" s="6" t="n">
        <f aca="false">SQRT((H30-'MLB Archetypes'!$C$7)^2+(I30-'MLB Archetypes'!$D$7)^2+(J30-'MLB Archetypes'!$E$7)^2+(K30-'MLB Archetypes'!$F$7)^2)</f>
        <v>5.74456264653803</v>
      </c>
      <c r="AR30" s="6" t="n">
        <f aca="false">SQRT((H30-'MLB Archetypes'!$C$8)^2+(I30-'MLB Archetypes'!$D$8)^2+(J30-'MLB Archetypes'!$E$8)^2+(K30-'MLB Archetypes'!$F$8)^2)</f>
        <v>3.60555127546399</v>
      </c>
      <c r="AS30" s="6" t="n">
        <f aca="false">SQRT((H30-'MLB Archetypes'!$C$9)^2+(I30-'MLB Archetypes'!$D$9)^2+(J30-'MLB Archetypes'!$E$9)^2+(K30-'MLB Archetypes'!$F$9)^2)</f>
        <v>4.79583152331272</v>
      </c>
      <c r="AT30" s="6" t="n">
        <f aca="false">SQRT((H30-'MLB Archetypes'!$C$10)^2+(I30-'MLB Archetypes'!$D$10)^2+(J30-'MLB Archetypes'!$E$10)^2+(K30-'MLB Archetypes'!$F$10)^2)</f>
        <v>6.16441400296898</v>
      </c>
      <c r="AU30" s="6" t="n">
        <f aca="false">SQRT((H30-'MLB Archetypes'!$C$11)^2+(I30-'MLB Archetypes'!$D$11)^2+(J30-'MLB Archetypes'!$E$11)^2+(K30-'MLB Archetypes'!$F$11)^2)</f>
        <v>6.2449979983984</v>
      </c>
      <c r="AV30" s="6" t="n">
        <f aca="false">SQRT((H30-'MLB Archetypes'!$C$12)^2+(I30-'MLB Archetypes'!$D$12)^2+(J30-'MLB Archetypes'!$E$12)^2+(K30-'MLB Archetypes'!$F$12)^2)</f>
        <v>5.47722557505166</v>
      </c>
      <c r="AW30" s="6" t="n">
        <f aca="false">SQRT((H30-'MLB Archetypes'!$C$13)^2+(I30-'MLB Archetypes'!$D$13)^2+(J30-'MLB Archetypes'!$E$13)^2+(K30-'MLB Archetypes'!$F$13)^2)</f>
        <v>5.74456264653803</v>
      </c>
      <c r="AX30" s="6" t="n">
        <f aca="false">SQRT((H30-'MLB Archetypes'!$C$14)^2+(I30-'MLB Archetypes'!$D$14)^2+(J30-'MLB Archetypes'!$E$14)^2+(K30-'MLB Archetypes'!$F$14)^2)</f>
        <v>5.8309518948453</v>
      </c>
      <c r="AY30" s="6" t="n">
        <f aca="false">SQRT((H30-'MLB Archetypes'!$C$15)^2+(I30-'MLB Archetypes'!$D$15)^2+(J30-'MLB Archetypes'!$E$15)^2+(K30-'MLB Archetypes'!$F$15)^2)</f>
        <v>4.12310562561766</v>
      </c>
      <c r="AZ30" s="6" t="n">
        <f aca="false">SQRT((H30-'MLB Archetypes'!$C$16)^2+(I30-'MLB Archetypes'!$D$16)^2+(J30-'MLB Archetypes'!$E$16)^2+(K30-'MLB Archetypes'!$F$16)^2)</f>
        <v>6.08276253029822</v>
      </c>
      <c r="BA30" s="6" t="n">
        <f aca="false">SQRT((H30-'MLB Archetypes'!$C$17)^2+(I30-'MLB Archetypes'!$D$17)^2+(J30-'MLB Archetypes'!$E$17)^2+(K30-'MLB Archetypes'!$F$17)^2)</f>
        <v>4.58257569495584</v>
      </c>
      <c r="BB30" s="6" t="n">
        <f aca="false">SQRT((H30-'MLB Archetypes'!$C$18)^2+(I30-'MLB Archetypes'!$D$18)^2+(J30-'MLB Archetypes'!$E$18)^2+(K30-'MLB Archetypes'!$F$18)^2)</f>
        <v>5.8309518948453</v>
      </c>
      <c r="BC30" s="6" t="n">
        <f aca="false">SQRT((H30-'MLB Archetypes'!$C$19)^2+(I30-'MLB Archetypes'!$D$19)^2+(J30-'MLB Archetypes'!$E$19)^2+(K30-'MLB Archetypes'!$F$19)^2)</f>
        <v>4.79583152331272</v>
      </c>
      <c r="BD30" s="4" t="str">
        <f aca="false">INDEX('MLB Archetypes'!$B$2:$B$19,MATCH(MIN(AL30:BC30),AL30:BC30,0))</f>
        <v>Jackie Robinson</v>
      </c>
      <c r="BE30" s="7" t="n">
        <f aca="false">ROUND(10-MIN(AL30:BC30)/1.8,1)</f>
        <v>8</v>
      </c>
    </row>
    <row r="31" customFormat="false" ht="15" hidden="false" customHeight="false" outlineLevel="0" collapsed="false">
      <c r="A31" s="2" t="s">
        <v>95</v>
      </c>
      <c r="B31" s="2" t="s">
        <v>49</v>
      </c>
      <c r="C31" s="2" t="s">
        <v>95</v>
      </c>
      <c r="D31" s="2" t="s">
        <v>50</v>
      </c>
      <c r="E31" s="2" t="s">
        <v>50</v>
      </c>
      <c r="F31" s="2" t="s">
        <v>52</v>
      </c>
      <c r="G31" s="2" t="s">
        <v>57</v>
      </c>
      <c r="H31" s="3" t="n">
        <v>6</v>
      </c>
      <c r="I31" s="3" t="n">
        <v>4</v>
      </c>
      <c r="J31" s="3" t="n">
        <v>5</v>
      </c>
      <c r="K31" s="3" t="n">
        <v>6</v>
      </c>
      <c r="L31" s="4" t="n">
        <f aca="false">H31+I31+J31+K31</f>
        <v>21</v>
      </c>
      <c r="M31" s="4" t="n">
        <f aca="false">ROUND(0.75*I31+0.25*K31,2)</f>
        <v>4.5</v>
      </c>
      <c r="N31" s="4" t="n">
        <f aca="false">ROUND(0.7*J31+0.3*K31,2)</f>
        <v>5.3</v>
      </c>
      <c r="O31" s="4" t="n">
        <f aca="false">ROUND((H31+J31+K31)/3,2)</f>
        <v>5.67</v>
      </c>
      <c r="P31" s="4" t="n">
        <f aca="false">ROUND(0.85*H31+0.15*J31,2)</f>
        <v>5.85</v>
      </c>
      <c r="Q31" s="4" t="n">
        <f aca="false">ROUND(0.6*J31+0.3*I31+0.1*H31,2)</f>
        <v>4.8</v>
      </c>
      <c r="R31" s="4" t="n">
        <f aca="false">ROUND(0.7*I31+0.2*J31+0.1*K31,2)</f>
        <v>4.4</v>
      </c>
      <c r="S31" s="4" t="n">
        <f aca="false">ROUND(0.13*I31+0.35*J31+0.52*K31,2)</f>
        <v>5.39</v>
      </c>
      <c r="T31" s="4" t="n">
        <f aca="false">ROUND(0.4*I31+0.5*J31+0.1*K31,2)</f>
        <v>4.7</v>
      </c>
      <c r="U31" s="4" t="n">
        <f aca="false">ROUND(0.1*I31+0.55*J31+0.35*K31,2)</f>
        <v>5.25</v>
      </c>
      <c r="V31" s="4" t="n">
        <f aca="false">ROUND(0.6*I31+0.1*J31+0.3*K31,2)</f>
        <v>4.7</v>
      </c>
      <c r="W31" s="4" t="n">
        <f aca="false">ROUND(0.15*I31+0.3*J31+0.55*K31,2)</f>
        <v>5.4</v>
      </c>
      <c r="X31" s="4" t="n">
        <f aca="false">ROUND(0.46*I31+0.46*J31+0.08*K31,2)</f>
        <v>4.62</v>
      </c>
      <c r="Y31" s="4" t="str">
        <f aca="false">IF(H31=MAX(H31:K31),"Pitcher (arm-first)",IF(I31=MAX(H31:K31),"Bat-first (corner/1B/DH)",IF(J31=MAX(H31:K31),"Defense-first (up-the-middle)","Speed-first (CF/leadoff)")))</f>
        <v>Pitcher (arm-first)</v>
      </c>
      <c r="Z31" s="5" t="n">
        <f aca="false">P31</f>
        <v>5.85</v>
      </c>
      <c r="AA31" s="5" t="n">
        <f aca="false">IF(F31="Right",Q31,-1)</f>
        <v>4.8</v>
      </c>
      <c r="AB31" s="5" t="n">
        <f aca="false">R31</f>
        <v>4.4</v>
      </c>
      <c r="AC31" s="5" t="n">
        <f aca="false">IF(F31="Right",S31,-1)</f>
        <v>5.39</v>
      </c>
      <c r="AD31" s="5" t="n">
        <f aca="false">IF(F31="Right",T31,-1)</f>
        <v>4.7</v>
      </c>
      <c r="AE31" s="5" t="n">
        <f aca="false">IF(F31="Right",U31,-1)</f>
        <v>5.25</v>
      </c>
      <c r="AF31" s="5" t="n">
        <f aca="false">V31</f>
        <v>4.7</v>
      </c>
      <c r="AG31" s="5" t="n">
        <f aca="false">W31</f>
        <v>5.4</v>
      </c>
      <c r="AH31" s="5" t="n">
        <f aca="false">X31</f>
        <v>4.62</v>
      </c>
      <c r="AI31" s="4" t="str">
        <f aca="false">INDEX($Z$1:$AH$1,MATCH(MAX(Z31:AH31),Z31:AH31,0))</f>
        <v>P</v>
      </c>
      <c r="AJ31" s="4" t="n">
        <f aca="false">MAX(Z31:AH31)</f>
        <v>5.85</v>
      </c>
      <c r="AK31" s="4" t="n">
        <f aca="false">SUMPRODUCT(($AI$2:$AI$73=AI31)*($AJ$2:$AJ$73&gt;AJ31))+SUMPRODUCT(($AI$2:$AI$73=AI31)*($AJ$2:$AJ$73=AJ31)*(ROW($AI$2:$AI$73)&lt;ROW(AI31)))+1</f>
        <v>15</v>
      </c>
      <c r="AL31" s="6" t="n">
        <f aca="false">SQRT((H31-'MLB Archetypes'!$C$2)^2+(I31-'MLB Archetypes'!$D$2)^2+(J31-'MLB Archetypes'!$E$2)^2+(K31-'MLB Archetypes'!$F$2)^2)</f>
        <v>5.3851648071345</v>
      </c>
      <c r="AM31" s="6" t="n">
        <f aca="false">SQRT((H31-'MLB Archetypes'!$C$3)^2+(I31-'MLB Archetypes'!$D$3)^2+(J31-'MLB Archetypes'!$E$3)^2+(K31-'MLB Archetypes'!$F$3)^2)</f>
        <v>4.47213595499958</v>
      </c>
      <c r="AN31" s="6" t="n">
        <f aca="false">SQRT((H31-'MLB Archetypes'!$C$4)^2+(I31-'MLB Archetypes'!$D$4)^2+(J31-'MLB Archetypes'!$E$4)^2+(K31-'MLB Archetypes'!$F$4)^2)</f>
        <v>7.07106781186548</v>
      </c>
      <c r="AO31" s="6" t="n">
        <f aca="false">SQRT((H31-'MLB Archetypes'!$C$5)^2+(I31-'MLB Archetypes'!$D$5)^2+(J31-'MLB Archetypes'!$E$5)^2+(K31-'MLB Archetypes'!$F$5)^2)</f>
        <v>5.74456264653803</v>
      </c>
      <c r="AP31" s="6" t="n">
        <f aca="false">SQRT((H31-'MLB Archetypes'!$C$6)^2+(I31-'MLB Archetypes'!$D$6)^2+(J31-'MLB Archetypes'!$E$6)^2+(K31-'MLB Archetypes'!$F$6)^2)</f>
        <v>7.14142842854285</v>
      </c>
      <c r="AQ31" s="6" t="n">
        <f aca="false">SQRT((H31-'MLB Archetypes'!$C$7)^2+(I31-'MLB Archetypes'!$D$7)^2+(J31-'MLB Archetypes'!$E$7)^2+(K31-'MLB Archetypes'!$F$7)^2)</f>
        <v>6.32455532033676</v>
      </c>
      <c r="AR31" s="6" t="n">
        <f aca="false">SQRT((H31-'MLB Archetypes'!$C$8)^2+(I31-'MLB Archetypes'!$D$8)^2+(J31-'MLB Archetypes'!$E$8)^2+(K31-'MLB Archetypes'!$F$8)^2)</f>
        <v>5.29150262212918</v>
      </c>
      <c r="AS31" s="6" t="n">
        <f aca="false">SQRT((H31-'MLB Archetypes'!$C$9)^2+(I31-'MLB Archetypes'!$D$9)^2+(J31-'MLB Archetypes'!$E$9)^2+(K31-'MLB Archetypes'!$F$9)^2)</f>
        <v>5.8309518948453</v>
      </c>
      <c r="AT31" s="6" t="n">
        <f aca="false">SQRT((H31-'MLB Archetypes'!$C$10)^2+(I31-'MLB Archetypes'!$D$10)^2+(J31-'MLB Archetypes'!$E$10)^2+(K31-'MLB Archetypes'!$F$10)^2)</f>
        <v>6.70820393249937</v>
      </c>
      <c r="AU31" s="6" t="n">
        <f aca="false">SQRT((H31-'MLB Archetypes'!$C$11)^2+(I31-'MLB Archetypes'!$D$11)^2+(J31-'MLB Archetypes'!$E$11)^2+(K31-'MLB Archetypes'!$F$11)^2)</f>
        <v>6.78232998312527</v>
      </c>
      <c r="AV31" s="6" t="n">
        <f aca="false">SQRT((H31-'MLB Archetypes'!$C$12)^2+(I31-'MLB Archetypes'!$D$12)^2+(J31-'MLB Archetypes'!$E$12)^2+(K31-'MLB Archetypes'!$F$12)^2)</f>
        <v>6.557438524302</v>
      </c>
      <c r="AW31" s="6" t="n">
        <f aca="false">SQRT((H31-'MLB Archetypes'!$C$13)^2+(I31-'MLB Archetypes'!$D$13)^2+(J31-'MLB Archetypes'!$E$13)^2+(K31-'MLB Archetypes'!$F$13)^2)</f>
        <v>6.16441400296898</v>
      </c>
      <c r="AX31" s="6" t="n">
        <f aca="false">SQRT((H31-'MLB Archetypes'!$C$14)^2+(I31-'MLB Archetypes'!$D$14)^2+(J31-'MLB Archetypes'!$E$14)^2+(K31-'MLB Archetypes'!$F$14)^2)</f>
        <v>6.557438524302</v>
      </c>
      <c r="AY31" s="6" t="n">
        <f aca="false">SQRT((H31-'MLB Archetypes'!$C$15)^2+(I31-'MLB Archetypes'!$D$15)^2+(J31-'MLB Archetypes'!$E$15)^2+(K31-'MLB Archetypes'!$F$15)^2)</f>
        <v>6</v>
      </c>
      <c r="AZ31" s="6" t="n">
        <f aca="false">SQRT((H31-'MLB Archetypes'!$C$16)^2+(I31-'MLB Archetypes'!$D$16)^2+(J31-'MLB Archetypes'!$E$16)^2+(K31-'MLB Archetypes'!$F$16)^2)</f>
        <v>7.21110255092798</v>
      </c>
      <c r="BA31" s="6" t="n">
        <f aca="false">SQRT((H31-'MLB Archetypes'!$C$17)^2+(I31-'MLB Archetypes'!$D$17)^2+(J31-'MLB Archetypes'!$E$17)^2+(K31-'MLB Archetypes'!$F$17)^2)</f>
        <v>6.16441400296898</v>
      </c>
      <c r="BB31" s="6" t="n">
        <f aca="false">SQRT((H31-'MLB Archetypes'!$C$18)^2+(I31-'MLB Archetypes'!$D$18)^2+(J31-'MLB Archetypes'!$E$18)^2+(K31-'MLB Archetypes'!$F$18)^2)</f>
        <v>6.557438524302</v>
      </c>
      <c r="BC31" s="6" t="n">
        <f aca="false">SQRT((H31-'MLB Archetypes'!$C$19)^2+(I31-'MLB Archetypes'!$D$19)^2+(J31-'MLB Archetypes'!$E$19)^2+(K31-'MLB Archetypes'!$F$19)^2)</f>
        <v>5.8309518948453</v>
      </c>
      <c r="BD31" s="4" t="str">
        <f aca="false">INDEX('MLB Archetypes'!$B$2:$B$19,MATCH(MIN(AL31:BC31),AL31:BC31,0))</f>
        <v>Greg Maddux</v>
      </c>
      <c r="BE31" s="7" t="n">
        <f aca="false">ROUND(10-MIN(AL31:BC31)/1.8,1)</f>
        <v>7.5</v>
      </c>
    </row>
    <row r="32" customFormat="false" ht="15" hidden="false" customHeight="false" outlineLevel="0" collapsed="false">
      <c r="A32" s="2" t="s">
        <v>96</v>
      </c>
      <c r="B32" s="2" t="s">
        <v>54</v>
      </c>
      <c r="C32" s="2" t="s">
        <v>97</v>
      </c>
      <c r="D32" s="2" t="s">
        <v>51</v>
      </c>
      <c r="E32" s="2" t="s">
        <v>50</v>
      </c>
      <c r="F32" s="2" t="s">
        <v>52</v>
      </c>
      <c r="G32" s="2" t="s">
        <v>52</v>
      </c>
      <c r="H32" s="3" t="n">
        <v>5</v>
      </c>
      <c r="I32" s="3" t="n">
        <v>5</v>
      </c>
      <c r="J32" s="3" t="n">
        <v>3</v>
      </c>
      <c r="K32" s="3" t="n">
        <v>7</v>
      </c>
      <c r="L32" s="4" t="n">
        <f aca="false">H32+I32+J32+K32</f>
        <v>20</v>
      </c>
      <c r="M32" s="4" t="n">
        <f aca="false">ROUND(0.75*I32+0.25*K32,2)</f>
        <v>5.5</v>
      </c>
      <c r="N32" s="4" t="n">
        <f aca="false">ROUND(0.7*J32+0.3*K32,2)</f>
        <v>4.2</v>
      </c>
      <c r="O32" s="4" t="n">
        <f aca="false">ROUND((H32+J32+K32)/3,2)</f>
        <v>5</v>
      </c>
      <c r="P32" s="4" t="n">
        <f aca="false">ROUND(0.85*H32+0.15*J32,2)</f>
        <v>4.7</v>
      </c>
      <c r="Q32" s="4" t="n">
        <f aca="false">ROUND(0.6*J32+0.3*I32+0.1*H32,2)</f>
        <v>3.8</v>
      </c>
      <c r="R32" s="4" t="n">
        <f aca="false">ROUND(0.7*I32+0.2*J32+0.1*K32,2)</f>
        <v>4.8</v>
      </c>
      <c r="S32" s="4" t="n">
        <f aca="false">ROUND(0.13*I32+0.35*J32+0.52*K32,2)</f>
        <v>5.34</v>
      </c>
      <c r="T32" s="4" t="n">
        <f aca="false">ROUND(0.4*I32+0.5*J32+0.1*K32,2)</f>
        <v>4.2</v>
      </c>
      <c r="U32" s="4" t="n">
        <f aca="false">ROUND(0.1*I32+0.55*J32+0.35*K32,2)</f>
        <v>4.6</v>
      </c>
      <c r="V32" s="4" t="n">
        <f aca="false">ROUND(0.6*I32+0.1*J32+0.3*K32,2)</f>
        <v>5.4</v>
      </c>
      <c r="W32" s="4" t="n">
        <f aca="false">ROUND(0.15*I32+0.3*J32+0.55*K32,2)</f>
        <v>5.5</v>
      </c>
      <c r="X32" s="4" t="n">
        <f aca="false">ROUND(0.46*I32+0.46*J32+0.08*K32,2)</f>
        <v>4.24</v>
      </c>
      <c r="Y32" s="4" t="str">
        <f aca="false">IF(H32=MAX(H32:K32),"Pitcher (arm-first)",IF(I32=MAX(H32:K32),"Bat-first (corner/1B/DH)",IF(J32=MAX(H32:K32),"Defense-first (up-the-middle)","Speed-first (CF/leadoff)")))</f>
        <v>Speed-first (CF/leadoff)</v>
      </c>
      <c r="Z32" s="5" t="n">
        <f aca="false">P32</f>
        <v>4.7</v>
      </c>
      <c r="AA32" s="5" t="n">
        <f aca="false">IF(F32="Right",Q32,-1)</f>
        <v>3.8</v>
      </c>
      <c r="AB32" s="5" t="n">
        <f aca="false">R32</f>
        <v>4.8</v>
      </c>
      <c r="AC32" s="5" t="n">
        <f aca="false">IF(F32="Right",S32,-1)</f>
        <v>5.34</v>
      </c>
      <c r="AD32" s="5" t="n">
        <f aca="false">IF(F32="Right",T32,-1)</f>
        <v>4.2</v>
      </c>
      <c r="AE32" s="5" t="n">
        <f aca="false">IF(F32="Right",U32,-1)</f>
        <v>4.6</v>
      </c>
      <c r="AF32" s="5" t="n">
        <f aca="false">V32</f>
        <v>5.4</v>
      </c>
      <c r="AG32" s="5" t="n">
        <f aca="false">W32</f>
        <v>5.5</v>
      </c>
      <c r="AH32" s="5" t="n">
        <f aca="false">X32</f>
        <v>4.24</v>
      </c>
      <c r="AI32" s="4" t="str">
        <f aca="false">INDEX($Z$1:$AH$1,MATCH(MAX(Z32:AH32),Z32:AH32,0))</f>
        <v>CF</v>
      </c>
      <c r="AJ32" s="4" t="n">
        <f aca="false">MAX(Z32:AH32)</f>
        <v>5.5</v>
      </c>
      <c r="AK32" s="4" t="n">
        <f aca="false">SUMPRODUCT(($AI$2:$AI$73=AI32)*($AJ$2:$AJ$73&gt;AJ32))+SUMPRODUCT(($AI$2:$AI$73=AI32)*($AJ$2:$AJ$73=AJ32)*(ROW($AI$2:$AI$73)&lt;ROW(AI32)))+1</f>
        <v>12</v>
      </c>
      <c r="AL32" s="6" t="n">
        <f aca="false">SQRT((H32-'MLB Archetypes'!$C$2)^2+(I32-'MLB Archetypes'!$D$2)^2+(J32-'MLB Archetypes'!$E$2)^2+(K32-'MLB Archetypes'!$F$2)^2)</f>
        <v>7.34846922834953</v>
      </c>
      <c r="AM32" s="6" t="n">
        <f aca="false">SQRT((H32-'MLB Archetypes'!$C$3)^2+(I32-'MLB Archetypes'!$D$3)^2+(J32-'MLB Archetypes'!$E$3)^2+(K32-'MLB Archetypes'!$F$3)^2)</f>
        <v>6.70820393249937</v>
      </c>
      <c r="AN32" s="6" t="n">
        <f aca="false">SQRT((H32-'MLB Archetypes'!$C$4)^2+(I32-'MLB Archetypes'!$D$4)^2+(J32-'MLB Archetypes'!$E$4)^2+(K32-'MLB Archetypes'!$F$4)^2)</f>
        <v>8.06225774829855</v>
      </c>
      <c r="AO32" s="6" t="n">
        <f aca="false">SQRT((H32-'MLB Archetypes'!$C$5)^2+(I32-'MLB Archetypes'!$D$5)^2+(J32-'MLB Archetypes'!$E$5)^2+(K32-'MLB Archetypes'!$F$5)^2)</f>
        <v>6.6332495807108</v>
      </c>
      <c r="AP32" s="6" t="n">
        <f aca="false">SQRT((H32-'MLB Archetypes'!$C$6)^2+(I32-'MLB Archetypes'!$D$6)^2+(J32-'MLB Archetypes'!$E$6)^2+(K32-'MLB Archetypes'!$F$6)^2)</f>
        <v>7.07106781186548</v>
      </c>
      <c r="AQ32" s="6" t="n">
        <f aca="false">SQRT((H32-'MLB Archetypes'!$C$7)^2+(I32-'MLB Archetypes'!$D$7)^2+(J32-'MLB Archetypes'!$E$7)^2+(K32-'MLB Archetypes'!$F$7)^2)</f>
        <v>7.41619848709566</v>
      </c>
      <c r="AR32" s="6" t="n">
        <f aca="false">SQRT((H32-'MLB Archetypes'!$C$8)^2+(I32-'MLB Archetypes'!$D$8)^2+(J32-'MLB Archetypes'!$E$8)^2+(K32-'MLB Archetypes'!$F$8)^2)</f>
        <v>5.19615242270663</v>
      </c>
      <c r="AS32" s="6" t="n">
        <f aca="false">SQRT((H32-'MLB Archetypes'!$C$9)^2+(I32-'MLB Archetypes'!$D$9)^2+(J32-'MLB Archetypes'!$E$9)^2+(K32-'MLB Archetypes'!$F$9)^2)</f>
        <v>6.2449979983984</v>
      </c>
      <c r="AT32" s="6" t="n">
        <f aca="false">SQRT((H32-'MLB Archetypes'!$C$10)^2+(I32-'MLB Archetypes'!$D$10)^2+(J32-'MLB Archetypes'!$E$10)^2+(K32-'MLB Archetypes'!$F$10)^2)</f>
        <v>7.21110255092798</v>
      </c>
      <c r="AU32" s="6" t="n">
        <f aca="false">SQRT((H32-'MLB Archetypes'!$C$11)^2+(I32-'MLB Archetypes'!$D$11)^2+(J32-'MLB Archetypes'!$E$11)^2+(K32-'MLB Archetypes'!$F$11)^2)</f>
        <v>6.557438524302</v>
      </c>
      <c r="AV32" s="6" t="n">
        <f aca="false">SQRT((H32-'MLB Archetypes'!$C$12)^2+(I32-'MLB Archetypes'!$D$12)^2+(J32-'MLB Archetypes'!$E$12)^2+(K32-'MLB Archetypes'!$F$12)^2)</f>
        <v>7.87400787401181</v>
      </c>
      <c r="AW32" s="6" t="n">
        <f aca="false">SQRT((H32-'MLB Archetypes'!$C$13)^2+(I32-'MLB Archetypes'!$D$13)^2+(J32-'MLB Archetypes'!$E$13)^2+(K32-'MLB Archetypes'!$F$13)^2)</f>
        <v>6.70820393249937</v>
      </c>
      <c r="AX32" s="6" t="n">
        <f aca="false">SQRT((H32-'MLB Archetypes'!$C$14)^2+(I32-'MLB Archetypes'!$D$14)^2+(J32-'MLB Archetypes'!$E$14)^2+(K32-'MLB Archetypes'!$F$14)^2)</f>
        <v>6.16441400296898</v>
      </c>
      <c r="AY32" s="6" t="n">
        <f aca="false">SQRT((H32-'MLB Archetypes'!$C$15)^2+(I32-'MLB Archetypes'!$D$15)^2+(J32-'MLB Archetypes'!$E$15)^2+(K32-'MLB Archetypes'!$F$15)^2)</f>
        <v>4.79583152331272</v>
      </c>
      <c r="AZ32" s="6" t="n">
        <f aca="false">SQRT((H32-'MLB Archetypes'!$C$16)^2+(I32-'MLB Archetypes'!$D$16)^2+(J32-'MLB Archetypes'!$E$16)^2+(K32-'MLB Archetypes'!$F$16)^2)</f>
        <v>7.41619848709566</v>
      </c>
      <c r="BA32" s="6" t="n">
        <f aca="false">SQRT((H32-'MLB Archetypes'!$C$17)^2+(I32-'MLB Archetypes'!$D$17)^2+(J32-'MLB Archetypes'!$E$17)^2+(K32-'MLB Archetypes'!$F$17)^2)</f>
        <v>5.74456264653803</v>
      </c>
      <c r="BB32" s="6" t="n">
        <f aca="false">SQRT((H32-'MLB Archetypes'!$C$18)^2+(I32-'MLB Archetypes'!$D$18)^2+(J32-'MLB Archetypes'!$E$18)^2+(K32-'MLB Archetypes'!$F$18)^2)</f>
        <v>6.16441400296898</v>
      </c>
      <c r="BC32" s="6" t="n">
        <f aca="false">SQRT((H32-'MLB Archetypes'!$C$19)^2+(I32-'MLB Archetypes'!$D$19)^2+(J32-'MLB Archetypes'!$E$19)^2+(K32-'MLB Archetypes'!$F$19)^2)</f>
        <v>6.2449979983984</v>
      </c>
      <c r="BD32" s="4" t="str">
        <f aca="false">INDEX('MLB Archetypes'!$B$2:$B$19,MATCH(MIN(AL32:BC32),AL32:BC32,0))</f>
        <v>Rickey Henderson</v>
      </c>
      <c r="BE32" s="7" t="n">
        <f aca="false">ROUND(10-MIN(AL32:BC32)/1.8,1)</f>
        <v>7.3</v>
      </c>
    </row>
    <row r="33" customFormat="false" ht="15" hidden="false" customHeight="false" outlineLevel="0" collapsed="false">
      <c r="A33" s="2" t="s">
        <v>98</v>
      </c>
      <c r="B33" s="2" t="s">
        <v>54</v>
      </c>
      <c r="C33" s="2" t="s">
        <v>97</v>
      </c>
      <c r="D33" s="2" t="s">
        <v>51</v>
      </c>
      <c r="E33" s="2" t="s">
        <v>50</v>
      </c>
      <c r="F33" s="2" t="s">
        <v>52</v>
      </c>
      <c r="G33" s="2" t="s">
        <v>52</v>
      </c>
      <c r="H33" s="3" t="n">
        <v>4</v>
      </c>
      <c r="I33" s="3" t="n">
        <v>6</v>
      </c>
      <c r="J33" s="3" t="n">
        <v>3</v>
      </c>
      <c r="K33" s="3" t="n">
        <v>7</v>
      </c>
      <c r="L33" s="4" t="n">
        <f aca="false">H33+I33+J33+K33</f>
        <v>20</v>
      </c>
      <c r="M33" s="4" t="n">
        <f aca="false">ROUND(0.75*I33+0.25*K33,2)</f>
        <v>6.25</v>
      </c>
      <c r="N33" s="4" t="n">
        <f aca="false">ROUND(0.7*J33+0.3*K33,2)</f>
        <v>4.2</v>
      </c>
      <c r="O33" s="4" t="n">
        <f aca="false">ROUND((H33+J33+K33)/3,2)</f>
        <v>4.67</v>
      </c>
      <c r="P33" s="4" t="n">
        <f aca="false">ROUND(0.85*H33+0.15*J33,2)</f>
        <v>3.85</v>
      </c>
      <c r="Q33" s="4" t="n">
        <f aca="false">ROUND(0.6*J33+0.3*I33+0.1*H33,2)</f>
        <v>4</v>
      </c>
      <c r="R33" s="4" t="n">
        <f aca="false">ROUND(0.7*I33+0.2*J33+0.1*K33,2)</f>
        <v>5.5</v>
      </c>
      <c r="S33" s="4" t="n">
        <f aca="false">ROUND(0.13*I33+0.35*J33+0.52*K33,2)</f>
        <v>5.47</v>
      </c>
      <c r="T33" s="4" t="n">
        <f aca="false">ROUND(0.4*I33+0.5*J33+0.1*K33,2)</f>
        <v>4.6</v>
      </c>
      <c r="U33" s="4" t="n">
        <f aca="false">ROUND(0.1*I33+0.55*J33+0.35*K33,2)</f>
        <v>4.7</v>
      </c>
      <c r="V33" s="4" t="n">
        <f aca="false">ROUND(0.6*I33+0.1*J33+0.3*K33,2)</f>
        <v>6</v>
      </c>
      <c r="W33" s="4" t="n">
        <f aca="false">ROUND(0.15*I33+0.3*J33+0.55*K33,2)</f>
        <v>5.65</v>
      </c>
      <c r="X33" s="4" t="n">
        <f aca="false">ROUND(0.46*I33+0.46*J33+0.08*K33,2)</f>
        <v>4.7</v>
      </c>
      <c r="Y33" s="4" t="str">
        <f aca="false">IF(H33=MAX(H33:K33),"Pitcher (arm-first)",IF(I33=MAX(H33:K33),"Bat-first (corner/1B/DH)",IF(J33=MAX(H33:K33),"Defense-first (up-the-middle)","Speed-first (CF/leadoff)")))</f>
        <v>Speed-first (CF/leadoff)</v>
      </c>
      <c r="Z33" s="5" t="n">
        <f aca="false">P33</f>
        <v>3.85</v>
      </c>
      <c r="AA33" s="5" t="n">
        <f aca="false">IF(F33="Right",Q33,-1)</f>
        <v>4</v>
      </c>
      <c r="AB33" s="5" t="n">
        <f aca="false">R33</f>
        <v>5.5</v>
      </c>
      <c r="AC33" s="5" t="n">
        <f aca="false">IF(F33="Right",S33,-1)</f>
        <v>5.47</v>
      </c>
      <c r="AD33" s="5" t="n">
        <f aca="false">IF(F33="Right",T33,-1)</f>
        <v>4.6</v>
      </c>
      <c r="AE33" s="5" t="n">
        <f aca="false">IF(F33="Right",U33,-1)</f>
        <v>4.7</v>
      </c>
      <c r="AF33" s="5" t="n">
        <f aca="false">V33</f>
        <v>6</v>
      </c>
      <c r="AG33" s="5" t="n">
        <f aca="false">W33</f>
        <v>5.65</v>
      </c>
      <c r="AH33" s="5" t="n">
        <f aca="false">X33</f>
        <v>4.7</v>
      </c>
      <c r="AI33" s="4" t="str">
        <f aca="false">INDEX($Z$1:$AH$1,MATCH(MAX(Z33:AH33),Z33:AH33,0))</f>
        <v>LF</v>
      </c>
      <c r="AJ33" s="4" t="n">
        <f aca="false">MAX(Z33:AH33)</f>
        <v>6</v>
      </c>
      <c r="AK33" s="4" t="n">
        <f aca="false">SUMPRODUCT(($AI$2:$AI$73=AI33)*($AJ$2:$AJ$73&gt;AJ33))+SUMPRODUCT(($AI$2:$AI$73=AI33)*($AJ$2:$AJ$73=AJ33)*(ROW($AI$2:$AI$73)&lt;ROW(AI33)))+1</f>
        <v>6</v>
      </c>
      <c r="AL33" s="6" t="n">
        <f aca="false">SQRT((H33-'MLB Archetypes'!$C$2)^2+(I33-'MLB Archetypes'!$D$2)^2+(J33-'MLB Archetypes'!$E$2)^2+(K33-'MLB Archetypes'!$F$2)^2)</f>
        <v>8.48528137423857</v>
      </c>
      <c r="AM33" s="6" t="n">
        <f aca="false">SQRT((H33-'MLB Archetypes'!$C$3)^2+(I33-'MLB Archetypes'!$D$3)^2+(J33-'MLB Archetypes'!$E$3)^2+(K33-'MLB Archetypes'!$F$3)^2)</f>
        <v>7.68114574786861</v>
      </c>
      <c r="AN33" s="6" t="n">
        <f aca="false">SQRT((H33-'MLB Archetypes'!$C$4)^2+(I33-'MLB Archetypes'!$D$4)^2+(J33-'MLB Archetypes'!$E$4)^2+(K33-'MLB Archetypes'!$F$4)^2)</f>
        <v>7.54983443527075</v>
      </c>
      <c r="AO33" s="6" t="n">
        <f aca="false">SQRT((H33-'MLB Archetypes'!$C$5)^2+(I33-'MLB Archetypes'!$D$5)^2+(J33-'MLB Archetypes'!$E$5)^2+(K33-'MLB Archetypes'!$F$5)^2)</f>
        <v>6.16441400296898</v>
      </c>
      <c r="AP33" s="6" t="n">
        <f aca="false">SQRT((H33-'MLB Archetypes'!$C$6)^2+(I33-'MLB Archetypes'!$D$6)^2+(J33-'MLB Archetypes'!$E$6)^2+(K33-'MLB Archetypes'!$F$6)^2)</f>
        <v>6.16441400296898</v>
      </c>
      <c r="AQ33" s="6" t="n">
        <f aca="false">SQRT((H33-'MLB Archetypes'!$C$7)^2+(I33-'MLB Archetypes'!$D$7)^2+(J33-'MLB Archetypes'!$E$7)^2+(K33-'MLB Archetypes'!$F$7)^2)</f>
        <v>7</v>
      </c>
      <c r="AR33" s="6" t="n">
        <f aca="false">SQRT((H33-'MLB Archetypes'!$C$8)^2+(I33-'MLB Archetypes'!$D$8)^2+(J33-'MLB Archetypes'!$E$8)^2+(K33-'MLB Archetypes'!$F$8)^2)</f>
        <v>4.58257569495584</v>
      </c>
      <c r="AS33" s="6" t="n">
        <f aca="false">SQRT((H33-'MLB Archetypes'!$C$9)^2+(I33-'MLB Archetypes'!$D$9)^2+(J33-'MLB Archetypes'!$E$9)^2+(K33-'MLB Archetypes'!$F$9)^2)</f>
        <v>5.56776436283002</v>
      </c>
      <c r="AT33" s="6" t="n">
        <f aca="false">SQRT((H33-'MLB Archetypes'!$C$10)^2+(I33-'MLB Archetypes'!$D$10)^2+(J33-'MLB Archetypes'!$E$10)^2+(K33-'MLB Archetypes'!$F$10)^2)</f>
        <v>6.48074069840786</v>
      </c>
      <c r="AU33" s="6" t="n">
        <f aca="false">SQRT((H33-'MLB Archetypes'!$C$11)^2+(I33-'MLB Archetypes'!$D$11)^2+(J33-'MLB Archetypes'!$E$11)^2+(K33-'MLB Archetypes'!$F$11)^2)</f>
        <v>5.56776436283002</v>
      </c>
      <c r="AV33" s="6" t="n">
        <f aca="false">SQRT((H33-'MLB Archetypes'!$C$12)^2+(I33-'MLB Archetypes'!$D$12)^2+(J33-'MLB Archetypes'!$E$12)^2+(K33-'MLB Archetypes'!$F$12)^2)</f>
        <v>7.87400787401181</v>
      </c>
      <c r="AW33" s="6" t="n">
        <f aca="false">SQRT((H33-'MLB Archetypes'!$C$13)^2+(I33-'MLB Archetypes'!$D$13)^2+(J33-'MLB Archetypes'!$E$13)^2+(K33-'MLB Archetypes'!$F$13)^2)</f>
        <v>6.08276253029822</v>
      </c>
      <c r="AX33" s="6" t="n">
        <f aca="false">SQRT((H33-'MLB Archetypes'!$C$14)^2+(I33-'MLB Archetypes'!$D$14)^2+(J33-'MLB Archetypes'!$E$14)^2+(K33-'MLB Archetypes'!$F$14)^2)</f>
        <v>5.09901951359278</v>
      </c>
      <c r="AY33" s="6" t="n">
        <f aca="false">SQRT((H33-'MLB Archetypes'!$C$15)^2+(I33-'MLB Archetypes'!$D$15)^2+(J33-'MLB Archetypes'!$E$15)^2+(K33-'MLB Archetypes'!$F$15)^2)</f>
        <v>4.12310562561766</v>
      </c>
      <c r="AZ33" s="6" t="n">
        <f aca="false">SQRT((H33-'MLB Archetypes'!$C$16)^2+(I33-'MLB Archetypes'!$D$16)^2+(J33-'MLB Archetypes'!$E$16)^2+(K33-'MLB Archetypes'!$F$16)^2)</f>
        <v>6.70820393249937</v>
      </c>
      <c r="BA33" s="6" t="n">
        <f aca="false">SQRT((H33-'MLB Archetypes'!$C$17)^2+(I33-'MLB Archetypes'!$D$17)^2+(J33-'MLB Archetypes'!$E$17)^2+(K33-'MLB Archetypes'!$F$17)^2)</f>
        <v>5</v>
      </c>
      <c r="BB33" s="6" t="n">
        <f aca="false">SQRT((H33-'MLB Archetypes'!$C$18)^2+(I33-'MLB Archetypes'!$D$18)^2+(J33-'MLB Archetypes'!$E$18)^2+(K33-'MLB Archetypes'!$F$18)^2)</f>
        <v>5.09901951359278</v>
      </c>
      <c r="BC33" s="6" t="n">
        <f aca="false">SQRT((H33-'MLB Archetypes'!$C$19)^2+(I33-'MLB Archetypes'!$D$19)^2+(J33-'MLB Archetypes'!$E$19)^2+(K33-'MLB Archetypes'!$F$19)^2)</f>
        <v>5.56776436283002</v>
      </c>
      <c r="BD33" s="4" t="str">
        <f aca="false">INDEX('MLB Archetypes'!$B$2:$B$19,MATCH(MIN(AL33:BC33),AL33:BC33,0))</f>
        <v>Rickey Henderson</v>
      </c>
      <c r="BE33" s="7" t="n">
        <f aca="false">ROUND(10-MIN(AL33:BC33)/1.8,1)</f>
        <v>7.7</v>
      </c>
    </row>
    <row r="34" customFormat="false" ht="15" hidden="false" customHeight="false" outlineLevel="0" collapsed="false">
      <c r="A34" s="2" t="s">
        <v>99</v>
      </c>
      <c r="B34" s="2" t="s">
        <v>54</v>
      </c>
      <c r="C34" s="2" t="s">
        <v>97</v>
      </c>
      <c r="D34" s="2" t="s">
        <v>51</v>
      </c>
      <c r="E34" s="2" t="s">
        <v>50</v>
      </c>
      <c r="F34" s="2" t="s">
        <v>52</v>
      </c>
      <c r="G34" s="2" t="s">
        <v>52</v>
      </c>
      <c r="H34" s="3" t="n">
        <v>3</v>
      </c>
      <c r="I34" s="3" t="n">
        <v>6</v>
      </c>
      <c r="J34" s="3" t="n">
        <v>4</v>
      </c>
      <c r="K34" s="3" t="n">
        <v>7</v>
      </c>
      <c r="L34" s="4" t="n">
        <f aca="false">H34+I34+J34+K34</f>
        <v>20</v>
      </c>
      <c r="M34" s="4" t="n">
        <f aca="false">ROUND(0.75*I34+0.25*K34,2)</f>
        <v>6.25</v>
      </c>
      <c r="N34" s="4" t="n">
        <f aca="false">ROUND(0.7*J34+0.3*K34,2)</f>
        <v>4.9</v>
      </c>
      <c r="O34" s="4" t="n">
        <f aca="false">ROUND((H34+J34+K34)/3,2)</f>
        <v>4.67</v>
      </c>
      <c r="P34" s="4" t="n">
        <f aca="false">ROUND(0.85*H34+0.15*J34,2)</f>
        <v>3.15</v>
      </c>
      <c r="Q34" s="4" t="n">
        <f aca="false">ROUND(0.6*J34+0.3*I34+0.1*H34,2)</f>
        <v>4.5</v>
      </c>
      <c r="R34" s="4" t="n">
        <f aca="false">ROUND(0.7*I34+0.2*J34+0.1*K34,2)</f>
        <v>5.7</v>
      </c>
      <c r="S34" s="4" t="n">
        <f aca="false">ROUND(0.13*I34+0.35*J34+0.52*K34,2)</f>
        <v>5.82</v>
      </c>
      <c r="T34" s="4" t="n">
        <f aca="false">ROUND(0.4*I34+0.5*J34+0.1*K34,2)</f>
        <v>5.1</v>
      </c>
      <c r="U34" s="4" t="n">
        <f aca="false">ROUND(0.1*I34+0.55*J34+0.35*K34,2)</f>
        <v>5.25</v>
      </c>
      <c r="V34" s="4" t="n">
        <f aca="false">ROUND(0.6*I34+0.1*J34+0.3*K34,2)</f>
        <v>6.1</v>
      </c>
      <c r="W34" s="4" t="n">
        <f aca="false">ROUND(0.15*I34+0.3*J34+0.55*K34,2)</f>
        <v>5.95</v>
      </c>
      <c r="X34" s="4" t="n">
        <f aca="false">ROUND(0.46*I34+0.46*J34+0.08*K34,2)</f>
        <v>5.16</v>
      </c>
      <c r="Y34" s="4" t="str">
        <f aca="false">IF(H34=MAX(H34:K34),"Pitcher (arm-first)",IF(I34=MAX(H34:K34),"Bat-first (corner/1B/DH)",IF(J34=MAX(H34:K34),"Defense-first (up-the-middle)","Speed-first (CF/leadoff)")))</f>
        <v>Speed-first (CF/leadoff)</v>
      </c>
      <c r="Z34" s="5" t="n">
        <f aca="false">P34</f>
        <v>3.15</v>
      </c>
      <c r="AA34" s="5" t="n">
        <f aca="false">IF(F34="Right",Q34,-1)</f>
        <v>4.5</v>
      </c>
      <c r="AB34" s="5" t="n">
        <f aca="false">R34</f>
        <v>5.7</v>
      </c>
      <c r="AC34" s="5" t="n">
        <f aca="false">IF(F34="Right",S34,-1)</f>
        <v>5.82</v>
      </c>
      <c r="AD34" s="5" t="n">
        <f aca="false">IF(F34="Right",T34,-1)</f>
        <v>5.1</v>
      </c>
      <c r="AE34" s="5" t="n">
        <f aca="false">IF(F34="Right",U34,-1)</f>
        <v>5.25</v>
      </c>
      <c r="AF34" s="5" t="n">
        <f aca="false">V34</f>
        <v>6.1</v>
      </c>
      <c r="AG34" s="5" t="n">
        <f aca="false">W34</f>
        <v>5.95</v>
      </c>
      <c r="AH34" s="5" t="n">
        <f aca="false">X34</f>
        <v>5.16</v>
      </c>
      <c r="AI34" s="4" t="str">
        <f aca="false">INDEX($Z$1:$AH$1,MATCH(MAX(Z34:AH34),Z34:AH34,0))</f>
        <v>LF</v>
      </c>
      <c r="AJ34" s="4" t="n">
        <f aca="false">MAX(Z34:AH34)</f>
        <v>6.1</v>
      </c>
      <c r="AK34" s="4" t="n">
        <f aca="false">SUMPRODUCT(($AI$2:$AI$73=AI34)*($AJ$2:$AJ$73&gt;AJ34))+SUMPRODUCT(($AI$2:$AI$73=AI34)*($AJ$2:$AJ$73=AJ34)*(ROW($AI$2:$AI$73)&lt;ROW(AI34)))+1</f>
        <v>5</v>
      </c>
      <c r="AL34" s="6" t="n">
        <f aca="false">SQRT((H34-'MLB Archetypes'!$C$2)^2+(I34-'MLB Archetypes'!$D$2)^2+(J34-'MLB Archetypes'!$E$2)^2+(K34-'MLB Archetypes'!$F$2)^2)</f>
        <v>9.05538513813742</v>
      </c>
      <c r="AM34" s="6" t="n">
        <f aca="false">SQRT((H34-'MLB Archetypes'!$C$3)^2+(I34-'MLB Archetypes'!$D$3)^2+(J34-'MLB Archetypes'!$E$3)^2+(K34-'MLB Archetypes'!$F$3)^2)</f>
        <v>8.06225774829855</v>
      </c>
      <c r="AN34" s="6" t="n">
        <f aca="false">SQRT((H34-'MLB Archetypes'!$C$4)^2+(I34-'MLB Archetypes'!$D$4)^2+(J34-'MLB Archetypes'!$E$4)^2+(K34-'MLB Archetypes'!$F$4)^2)</f>
        <v>6.557438524302</v>
      </c>
      <c r="AO34" s="6" t="n">
        <f aca="false">SQRT((H34-'MLB Archetypes'!$C$5)^2+(I34-'MLB Archetypes'!$D$5)^2+(J34-'MLB Archetypes'!$E$5)^2+(K34-'MLB Archetypes'!$F$5)^2)</f>
        <v>5.09901951359278</v>
      </c>
      <c r="AP34" s="6" t="n">
        <f aca="false">SQRT((H34-'MLB Archetypes'!$C$6)^2+(I34-'MLB Archetypes'!$D$6)^2+(J34-'MLB Archetypes'!$E$6)^2+(K34-'MLB Archetypes'!$F$6)^2)</f>
        <v>5.47722557505166</v>
      </c>
      <c r="AQ34" s="6" t="n">
        <f aca="false">SQRT((H34-'MLB Archetypes'!$C$7)^2+(I34-'MLB Archetypes'!$D$7)^2+(J34-'MLB Archetypes'!$E$7)^2+(K34-'MLB Archetypes'!$F$7)^2)</f>
        <v>5.91607978309962</v>
      </c>
      <c r="AR34" s="6" t="n">
        <f aca="false">SQRT((H34-'MLB Archetypes'!$C$8)^2+(I34-'MLB Archetypes'!$D$8)^2+(J34-'MLB Archetypes'!$E$8)^2+(K34-'MLB Archetypes'!$F$8)^2)</f>
        <v>3.3166247903554</v>
      </c>
      <c r="AS34" s="6" t="n">
        <f aca="false">SQRT((H34-'MLB Archetypes'!$C$9)^2+(I34-'MLB Archetypes'!$D$9)^2+(J34-'MLB Archetypes'!$E$9)^2+(K34-'MLB Archetypes'!$F$9)^2)</f>
        <v>4.35889894354067</v>
      </c>
      <c r="AT34" s="6" t="n">
        <f aca="false">SQRT((H34-'MLB Archetypes'!$C$10)^2+(I34-'MLB Archetypes'!$D$10)^2+(J34-'MLB Archetypes'!$E$10)^2+(K34-'MLB Archetypes'!$F$10)^2)</f>
        <v>5.47722557505166</v>
      </c>
      <c r="AU34" s="6" t="n">
        <f aca="false">SQRT((H34-'MLB Archetypes'!$C$11)^2+(I34-'MLB Archetypes'!$D$11)^2+(J34-'MLB Archetypes'!$E$11)^2+(K34-'MLB Archetypes'!$F$11)^2)</f>
        <v>4.79583152331272</v>
      </c>
      <c r="AV34" s="6" t="n">
        <f aca="false">SQRT((H34-'MLB Archetypes'!$C$12)^2+(I34-'MLB Archetypes'!$D$12)^2+(J34-'MLB Archetypes'!$E$12)^2+(K34-'MLB Archetypes'!$F$12)^2)</f>
        <v>6.78232998312527</v>
      </c>
      <c r="AW34" s="6" t="n">
        <f aca="false">SQRT((H34-'MLB Archetypes'!$C$13)^2+(I34-'MLB Archetypes'!$D$13)^2+(J34-'MLB Archetypes'!$E$13)^2+(K34-'MLB Archetypes'!$F$13)^2)</f>
        <v>5.19615242270663</v>
      </c>
      <c r="AX34" s="6" t="n">
        <f aca="false">SQRT((H34-'MLB Archetypes'!$C$14)^2+(I34-'MLB Archetypes'!$D$14)^2+(J34-'MLB Archetypes'!$E$14)^2+(K34-'MLB Archetypes'!$F$14)^2)</f>
        <v>4.24264068711929</v>
      </c>
      <c r="AY34" s="6" t="n">
        <f aca="false">SQRT((H34-'MLB Archetypes'!$C$15)^2+(I34-'MLB Archetypes'!$D$15)^2+(J34-'MLB Archetypes'!$E$15)^2+(K34-'MLB Archetypes'!$F$15)^2)</f>
        <v>3.3166247903554</v>
      </c>
      <c r="AZ34" s="6" t="n">
        <f aca="false">SQRT((H34-'MLB Archetypes'!$C$16)^2+(I34-'MLB Archetypes'!$D$16)^2+(J34-'MLB Archetypes'!$E$16)^2+(K34-'MLB Archetypes'!$F$16)^2)</f>
        <v>5.56776436283002</v>
      </c>
      <c r="BA34" s="6" t="n">
        <f aca="false">SQRT((H34-'MLB Archetypes'!$C$17)^2+(I34-'MLB Archetypes'!$D$17)^2+(J34-'MLB Archetypes'!$E$17)^2+(K34-'MLB Archetypes'!$F$17)^2)</f>
        <v>3.87298334620742</v>
      </c>
      <c r="BB34" s="6" t="n">
        <f aca="false">SQRT((H34-'MLB Archetypes'!$C$18)^2+(I34-'MLB Archetypes'!$D$18)^2+(J34-'MLB Archetypes'!$E$18)^2+(K34-'MLB Archetypes'!$F$18)^2)</f>
        <v>4.24264068711929</v>
      </c>
      <c r="BC34" s="6" t="n">
        <f aca="false">SQRT((H34-'MLB Archetypes'!$C$19)^2+(I34-'MLB Archetypes'!$D$19)^2+(J34-'MLB Archetypes'!$E$19)^2+(K34-'MLB Archetypes'!$F$19)^2)</f>
        <v>4.35889894354067</v>
      </c>
      <c r="BD34" s="4" t="str">
        <f aca="false">INDEX('MLB Archetypes'!$B$2:$B$19,MATCH(MIN(AL34:BC34),AL34:BC34,0))</f>
        <v>Jackie Robinson</v>
      </c>
      <c r="BE34" s="7" t="n">
        <f aca="false">ROUND(10-MIN(AL34:BC34)/1.8,1)</f>
        <v>8.2</v>
      </c>
    </row>
    <row r="35" customFormat="false" ht="15" hidden="false" customHeight="false" outlineLevel="0" collapsed="false">
      <c r="A35" s="2" t="s">
        <v>100</v>
      </c>
      <c r="B35" s="2" t="s">
        <v>54</v>
      </c>
      <c r="C35" s="2" t="s">
        <v>97</v>
      </c>
      <c r="D35" s="2" t="s">
        <v>51</v>
      </c>
      <c r="E35" s="2" t="s">
        <v>50</v>
      </c>
      <c r="F35" s="2" t="s">
        <v>52</v>
      </c>
      <c r="G35" s="2" t="s">
        <v>52</v>
      </c>
      <c r="H35" s="3" t="n">
        <v>4</v>
      </c>
      <c r="I35" s="3" t="n">
        <v>5</v>
      </c>
      <c r="J35" s="3" t="n">
        <v>4</v>
      </c>
      <c r="K35" s="3" t="n">
        <v>7</v>
      </c>
      <c r="L35" s="4" t="n">
        <f aca="false">H35+I35+J35+K35</f>
        <v>20</v>
      </c>
      <c r="M35" s="4" t="n">
        <f aca="false">ROUND(0.75*I35+0.25*K35,2)</f>
        <v>5.5</v>
      </c>
      <c r="N35" s="4" t="n">
        <f aca="false">ROUND(0.7*J35+0.3*K35,2)</f>
        <v>4.9</v>
      </c>
      <c r="O35" s="4" t="n">
        <f aca="false">ROUND((H35+J35+K35)/3,2)</f>
        <v>5</v>
      </c>
      <c r="P35" s="4" t="n">
        <f aca="false">ROUND(0.85*H35+0.15*J35,2)</f>
        <v>4</v>
      </c>
      <c r="Q35" s="4" t="n">
        <f aca="false">ROUND(0.6*J35+0.3*I35+0.1*H35,2)</f>
        <v>4.3</v>
      </c>
      <c r="R35" s="4" t="n">
        <f aca="false">ROUND(0.7*I35+0.2*J35+0.1*K35,2)</f>
        <v>5</v>
      </c>
      <c r="S35" s="4" t="n">
        <f aca="false">ROUND(0.13*I35+0.35*J35+0.52*K35,2)</f>
        <v>5.69</v>
      </c>
      <c r="T35" s="4" t="n">
        <f aca="false">ROUND(0.4*I35+0.5*J35+0.1*K35,2)</f>
        <v>4.7</v>
      </c>
      <c r="U35" s="4" t="n">
        <f aca="false">ROUND(0.1*I35+0.55*J35+0.35*K35,2)</f>
        <v>5.15</v>
      </c>
      <c r="V35" s="4" t="n">
        <f aca="false">ROUND(0.6*I35+0.1*J35+0.3*K35,2)</f>
        <v>5.5</v>
      </c>
      <c r="W35" s="4" t="n">
        <f aca="false">ROUND(0.15*I35+0.3*J35+0.55*K35,2)</f>
        <v>5.8</v>
      </c>
      <c r="X35" s="4" t="n">
        <f aca="false">ROUND(0.46*I35+0.46*J35+0.08*K35,2)</f>
        <v>4.7</v>
      </c>
      <c r="Y35" s="4" t="str">
        <f aca="false">IF(H35=MAX(H35:K35),"Pitcher (arm-first)",IF(I35=MAX(H35:K35),"Bat-first (corner/1B/DH)",IF(J35=MAX(H35:K35),"Defense-first (up-the-middle)","Speed-first (CF/leadoff)")))</f>
        <v>Speed-first (CF/leadoff)</v>
      </c>
      <c r="Z35" s="5" t="n">
        <f aca="false">P35</f>
        <v>4</v>
      </c>
      <c r="AA35" s="5" t="n">
        <f aca="false">IF(F35="Right",Q35,-1)</f>
        <v>4.3</v>
      </c>
      <c r="AB35" s="5" t="n">
        <f aca="false">R35</f>
        <v>5</v>
      </c>
      <c r="AC35" s="5" t="n">
        <f aca="false">IF(F35="Right",S35,-1)</f>
        <v>5.69</v>
      </c>
      <c r="AD35" s="5" t="n">
        <f aca="false">IF(F35="Right",T35,-1)</f>
        <v>4.7</v>
      </c>
      <c r="AE35" s="5" t="n">
        <f aca="false">IF(F35="Right",U35,-1)</f>
        <v>5.15</v>
      </c>
      <c r="AF35" s="5" t="n">
        <f aca="false">V35</f>
        <v>5.5</v>
      </c>
      <c r="AG35" s="5" t="n">
        <f aca="false">W35</f>
        <v>5.8</v>
      </c>
      <c r="AH35" s="5" t="n">
        <f aca="false">X35</f>
        <v>4.7</v>
      </c>
      <c r="AI35" s="4" t="str">
        <f aca="false">INDEX($Z$1:$AH$1,MATCH(MAX(Z35:AH35),Z35:AH35,0))</f>
        <v>CF</v>
      </c>
      <c r="AJ35" s="4" t="n">
        <f aca="false">MAX(Z35:AH35)</f>
        <v>5.8</v>
      </c>
      <c r="AK35" s="4" t="n">
        <f aca="false">SUMPRODUCT(($AI$2:$AI$73=AI35)*($AJ$2:$AJ$73&gt;AJ35))+SUMPRODUCT(($AI$2:$AI$73=AI35)*($AJ$2:$AJ$73=AJ35)*(ROW($AI$2:$AI$73)&lt;ROW(AI35)))+1</f>
        <v>10</v>
      </c>
      <c r="AL35" s="6" t="n">
        <f aca="false">SQRT((H35-'MLB Archetypes'!$C$2)^2+(I35-'MLB Archetypes'!$D$2)^2+(J35-'MLB Archetypes'!$E$2)^2+(K35-'MLB Archetypes'!$F$2)^2)</f>
        <v>7.87400787401181</v>
      </c>
      <c r="AM35" s="6" t="n">
        <f aca="false">SQRT((H35-'MLB Archetypes'!$C$3)^2+(I35-'MLB Archetypes'!$D$3)^2+(J35-'MLB Archetypes'!$E$3)^2+(K35-'MLB Archetypes'!$F$3)^2)</f>
        <v>7</v>
      </c>
      <c r="AN35" s="6" t="n">
        <f aca="false">SQRT((H35-'MLB Archetypes'!$C$4)^2+(I35-'MLB Archetypes'!$D$4)^2+(J35-'MLB Archetypes'!$E$4)^2+(K35-'MLB Archetypes'!$F$4)^2)</f>
        <v>7</v>
      </c>
      <c r="AO35" s="6" t="n">
        <f aca="false">SQRT((H35-'MLB Archetypes'!$C$5)^2+(I35-'MLB Archetypes'!$D$5)^2+(J35-'MLB Archetypes'!$E$5)^2+(K35-'MLB Archetypes'!$F$5)^2)</f>
        <v>5.47722557505166</v>
      </c>
      <c r="AP35" s="6" t="n">
        <f aca="false">SQRT((H35-'MLB Archetypes'!$C$6)^2+(I35-'MLB Archetypes'!$D$6)^2+(J35-'MLB Archetypes'!$E$6)^2+(K35-'MLB Archetypes'!$F$6)^2)</f>
        <v>6.32455532033676</v>
      </c>
      <c r="AQ35" s="6" t="n">
        <f aca="false">SQRT((H35-'MLB Archetypes'!$C$7)^2+(I35-'MLB Archetypes'!$D$7)^2+(J35-'MLB Archetypes'!$E$7)^2+(K35-'MLB Archetypes'!$F$7)^2)</f>
        <v>6.2449979983984</v>
      </c>
      <c r="AR35" s="6" t="n">
        <f aca="false">SQRT((H35-'MLB Archetypes'!$C$8)^2+(I35-'MLB Archetypes'!$D$8)^2+(J35-'MLB Archetypes'!$E$8)^2+(K35-'MLB Archetypes'!$F$8)^2)</f>
        <v>3.87298334620742</v>
      </c>
      <c r="AS35" s="6" t="n">
        <f aca="false">SQRT((H35-'MLB Archetypes'!$C$9)^2+(I35-'MLB Archetypes'!$D$9)^2+(J35-'MLB Archetypes'!$E$9)^2+(K35-'MLB Archetypes'!$F$9)^2)</f>
        <v>5</v>
      </c>
      <c r="AT35" s="6" t="n">
        <f aca="false">SQRT((H35-'MLB Archetypes'!$C$10)^2+(I35-'MLB Archetypes'!$D$10)^2+(J35-'MLB Archetypes'!$E$10)^2+(K35-'MLB Archetypes'!$F$10)^2)</f>
        <v>6.16441400296898</v>
      </c>
      <c r="AU35" s="6" t="n">
        <f aca="false">SQRT((H35-'MLB Archetypes'!$C$11)^2+(I35-'MLB Archetypes'!$D$11)^2+(J35-'MLB Archetypes'!$E$11)^2+(K35-'MLB Archetypes'!$F$11)^2)</f>
        <v>5.74456264653803</v>
      </c>
      <c r="AV35" s="6" t="n">
        <f aca="false">SQRT((H35-'MLB Archetypes'!$C$12)^2+(I35-'MLB Archetypes'!$D$12)^2+(J35-'MLB Archetypes'!$E$12)^2+(K35-'MLB Archetypes'!$F$12)^2)</f>
        <v>6.6332495807108</v>
      </c>
      <c r="AW35" s="6" t="n">
        <f aca="false">SQRT((H35-'MLB Archetypes'!$C$13)^2+(I35-'MLB Archetypes'!$D$13)^2+(J35-'MLB Archetypes'!$E$13)^2+(K35-'MLB Archetypes'!$F$13)^2)</f>
        <v>5.74456264653803</v>
      </c>
      <c r="AX35" s="6" t="n">
        <f aca="false">SQRT((H35-'MLB Archetypes'!$C$14)^2+(I35-'MLB Archetypes'!$D$14)^2+(J35-'MLB Archetypes'!$E$14)^2+(K35-'MLB Archetypes'!$F$14)^2)</f>
        <v>5.29150262212918</v>
      </c>
      <c r="AY35" s="6" t="n">
        <f aca="false">SQRT((H35-'MLB Archetypes'!$C$15)^2+(I35-'MLB Archetypes'!$D$15)^2+(J35-'MLB Archetypes'!$E$15)^2+(K35-'MLB Archetypes'!$F$15)^2)</f>
        <v>3.87298334620742</v>
      </c>
      <c r="AZ35" s="6" t="n">
        <f aca="false">SQRT((H35-'MLB Archetypes'!$C$16)^2+(I35-'MLB Archetypes'!$D$16)^2+(J35-'MLB Archetypes'!$E$16)^2+(K35-'MLB Archetypes'!$F$16)^2)</f>
        <v>6.2449979983984</v>
      </c>
      <c r="BA35" s="6" t="n">
        <f aca="false">SQRT((H35-'MLB Archetypes'!$C$17)^2+(I35-'MLB Archetypes'!$D$17)^2+(J35-'MLB Archetypes'!$E$17)^2+(K35-'MLB Archetypes'!$F$17)^2)</f>
        <v>4.58257569495584</v>
      </c>
      <c r="BB35" s="6" t="n">
        <f aca="false">SQRT((H35-'MLB Archetypes'!$C$18)^2+(I35-'MLB Archetypes'!$D$18)^2+(J35-'MLB Archetypes'!$E$18)^2+(K35-'MLB Archetypes'!$F$18)^2)</f>
        <v>5.29150262212918</v>
      </c>
      <c r="BC35" s="6" t="n">
        <f aca="false">SQRT((H35-'MLB Archetypes'!$C$19)^2+(I35-'MLB Archetypes'!$D$19)^2+(J35-'MLB Archetypes'!$E$19)^2+(K35-'MLB Archetypes'!$F$19)^2)</f>
        <v>5</v>
      </c>
      <c r="BD35" s="4" t="str">
        <f aca="false">INDEX('MLB Archetypes'!$B$2:$B$19,MATCH(MIN(AL35:BC35),AL35:BC35,0))</f>
        <v>Jackie Robinson</v>
      </c>
      <c r="BE35" s="7" t="n">
        <f aca="false">ROUND(10-MIN(AL35:BC35)/1.8,1)</f>
        <v>7.8</v>
      </c>
    </row>
    <row r="36" customFormat="false" ht="15" hidden="false" customHeight="false" outlineLevel="0" collapsed="false">
      <c r="A36" s="2" t="s">
        <v>101</v>
      </c>
      <c r="B36" s="2" t="s">
        <v>54</v>
      </c>
      <c r="C36" s="2" t="s">
        <v>97</v>
      </c>
      <c r="D36" s="2" t="s">
        <v>51</v>
      </c>
      <c r="E36" s="2" t="s">
        <v>50</v>
      </c>
      <c r="F36" s="2" t="s">
        <v>52</v>
      </c>
      <c r="G36" s="2" t="s">
        <v>52</v>
      </c>
      <c r="H36" s="3" t="n">
        <v>5</v>
      </c>
      <c r="I36" s="3" t="n">
        <v>6</v>
      </c>
      <c r="J36" s="3" t="n">
        <v>2</v>
      </c>
      <c r="K36" s="3" t="n">
        <v>7</v>
      </c>
      <c r="L36" s="4" t="n">
        <f aca="false">H36+I36+J36+K36</f>
        <v>20</v>
      </c>
      <c r="M36" s="4" t="n">
        <f aca="false">ROUND(0.75*I36+0.25*K36,2)</f>
        <v>6.25</v>
      </c>
      <c r="N36" s="4" t="n">
        <f aca="false">ROUND(0.7*J36+0.3*K36,2)</f>
        <v>3.5</v>
      </c>
      <c r="O36" s="4" t="n">
        <f aca="false">ROUND((H36+J36+K36)/3,2)</f>
        <v>4.67</v>
      </c>
      <c r="P36" s="4" t="n">
        <f aca="false">ROUND(0.85*H36+0.15*J36,2)</f>
        <v>4.55</v>
      </c>
      <c r="Q36" s="4" t="n">
        <f aca="false">ROUND(0.6*J36+0.3*I36+0.1*H36,2)</f>
        <v>3.5</v>
      </c>
      <c r="R36" s="4" t="n">
        <f aca="false">ROUND(0.7*I36+0.2*J36+0.1*K36,2)</f>
        <v>5.3</v>
      </c>
      <c r="S36" s="4" t="n">
        <f aca="false">ROUND(0.13*I36+0.35*J36+0.52*K36,2)</f>
        <v>5.12</v>
      </c>
      <c r="T36" s="4" t="n">
        <f aca="false">ROUND(0.4*I36+0.5*J36+0.1*K36,2)</f>
        <v>4.1</v>
      </c>
      <c r="U36" s="4" t="n">
        <f aca="false">ROUND(0.1*I36+0.55*J36+0.35*K36,2)</f>
        <v>4.15</v>
      </c>
      <c r="V36" s="4" t="n">
        <f aca="false">ROUND(0.6*I36+0.1*J36+0.3*K36,2)</f>
        <v>5.9</v>
      </c>
      <c r="W36" s="4" t="n">
        <f aca="false">ROUND(0.15*I36+0.3*J36+0.55*K36,2)</f>
        <v>5.35</v>
      </c>
      <c r="X36" s="4" t="n">
        <f aca="false">ROUND(0.46*I36+0.46*J36+0.08*K36,2)</f>
        <v>4.24</v>
      </c>
      <c r="Y36" s="4" t="str">
        <f aca="false">IF(H36=MAX(H36:K36),"Pitcher (arm-first)",IF(I36=MAX(H36:K36),"Bat-first (corner/1B/DH)",IF(J36=MAX(H36:K36),"Defense-first (up-the-middle)","Speed-first (CF/leadoff)")))</f>
        <v>Speed-first (CF/leadoff)</v>
      </c>
      <c r="Z36" s="5" t="n">
        <f aca="false">P36</f>
        <v>4.55</v>
      </c>
      <c r="AA36" s="5" t="n">
        <f aca="false">IF(F36="Right",Q36,-1)</f>
        <v>3.5</v>
      </c>
      <c r="AB36" s="5" t="n">
        <f aca="false">R36</f>
        <v>5.3</v>
      </c>
      <c r="AC36" s="5" t="n">
        <f aca="false">IF(F36="Right",S36,-1)</f>
        <v>5.12</v>
      </c>
      <c r="AD36" s="5" t="n">
        <f aca="false">IF(F36="Right",T36,-1)</f>
        <v>4.1</v>
      </c>
      <c r="AE36" s="5" t="n">
        <f aca="false">IF(F36="Right",U36,-1)</f>
        <v>4.15</v>
      </c>
      <c r="AF36" s="5" t="n">
        <f aca="false">V36</f>
        <v>5.9</v>
      </c>
      <c r="AG36" s="5" t="n">
        <f aca="false">W36</f>
        <v>5.35</v>
      </c>
      <c r="AH36" s="5" t="n">
        <f aca="false">X36</f>
        <v>4.24</v>
      </c>
      <c r="AI36" s="4" t="str">
        <f aca="false">INDEX($Z$1:$AH$1,MATCH(MAX(Z36:AH36),Z36:AH36,0))</f>
        <v>LF</v>
      </c>
      <c r="AJ36" s="4" t="n">
        <f aca="false">MAX(Z36:AH36)</f>
        <v>5.9</v>
      </c>
      <c r="AK36" s="4" t="n">
        <f aca="false">SUMPRODUCT(($AI$2:$AI$73=AI36)*($AJ$2:$AJ$73&gt;AJ36))+SUMPRODUCT(($AI$2:$AI$73=AI36)*($AJ$2:$AJ$73=AJ36)*(ROW($AI$2:$AI$73)&lt;ROW(AI36)))+1</f>
        <v>7</v>
      </c>
      <c r="AL36" s="6" t="n">
        <f aca="false">SQRT((H36-'MLB Archetypes'!$C$2)^2+(I36-'MLB Archetypes'!$D$2)^2+(J36-'MLB Archetypes'!$E$2)^2+(K36-'MLB Archetypes'!$F$2)^2)</f>
        <v>8.12403840463596</v>
      </c>
      <c r="AM36" s="6" t="n">
        <f aca="false">SQRT((H36-'MLB Archetypes'!$C$3)^2+(I36-'MLB Archetypes'!$D$3)^2+(J36-'MLB Archetypes'!$E$3)^2+(K36-'MLB Archetypes'!$F$3)^2)</f>
        <v>7.54983443527075</v>
      </c>
      <c r="AN36" s="6" t="n">
        <f aca="false">SQRT((H36-'MLB Archetypes'!$C$4)^2+(I36-'MLB Archetypes'!$D$4)^2+(J36-'MLB Archetypes'!$E$4)^2+(K36-'MLB Archetypes'!$F$4)^2)</f>
        <v>8.66025403784439</v>
      </c>
      <c r="AO36" s="6" t="n">
        <f aca="false">SQRT((H36-'MLB Archetypes'!$C$5)^2+(I36-'MLB Archetypes'!$D$5)^2+(J36-'MLB Archetypes'!$E$5)^2+(K36-'MLB Archetypes'!$F$5)^2)</f>
        <v>7.34846922834953</v>
      </c>
      <c r="AP36" s="6" t="n">
        <f aca="false">SQRT((H36-'MLB Archetypes'!$C$6)^2+(I36-'MLB Archetypes'!$D$6)^2+(J36-'MLB Archetypes'!$E$6)^2+(K36-'MLB Archetypes'!$F$6)^2)</f>
        <v>7.07106781186548</v>
      </c>
      <c r="AQ36" s="6" t="n">
        <f aca="false">SQRT((H36-'MLB Archetypes'!$C$7)^2+(I36-'MLB Archetypes'!$D$7)^2+(J36-'MLB Archetypes'!$E$7)^2+(K36-'MLB Archetypes'!$F$7)^2)</f>
        <v>8.18535277187245</v>
      </c>
      <c r="AR36" s="6" t="n">
        <f aca="false">SQRT((H36-'MLB Archetypes'!$C$8)^2+(I36-'MLB Archetypes'!$D$8)^2+(J36-'MLB Archetypes'!$E$8)^2+(K36-'MLB Archetypes'!$F$8)^2)</f>
        <v>5.91607978309962</v>
      </c>
      <c r="AS36" s="6" t="n">
        <f aca="false">SQRT((H36-'MLB Archetypes'!$C$9)^2+(I36-'MLB Archetypes'!$D$9)^2+(J36-'MLB Archetypes'!$E$9)^2+(K36-'MLB Archetypes'!$F$9)^2)</f>
        <v>6.85565460040104</v>
      </c>
      <c r="AT36" s="6" t="n">
        <f aca="false">SQRT((H36-'MLB Archetypes'!$C$10)^2+(I36-'MLB Archetypes'!$D$10)^2+(J36-'MLB Archetypes'!$E$10)^2+(K36-'MLB Archetypes'!$F$10)^2)</f>
        <v>7.61577310586391</v>
      </c>
      <c r="AU36" s="6" t="n">
        <f aca="false">SQRT((H36-'MLB Archetypes'!$C$11)^2+(I36-'MLB Archetypes'!$D$11)^2+(J36-'MLB Archetypes'!$E$11)^2+(K36-'MLB Archetypes'!$F$11)^2)</f>
        <v>6.557438524302</v>
      </c>
      <c r="AV36" s="6" t="n">
        <f aca="false">SQRT((H36-'MLB Archetypes'!$C$12)^2+(I36-'MLB Archetypes'!$D$12)^2+(J36-'MLB Archetypes'!$E$12)^2+(K36-'MLB Archetypes'!$F$12)^2)</f>
        <v>9.05538513813742</v>
      </c>
      <c r="AW36" s="6" t="n">
        <f aca="false">SQRT((H36-'MLB Archetypes'!$C$13)^2+(I36-'MLB Archetypes'!$D$13)^2+(J36-'MLB Archetypes'!$E$13)^2+(K36-'MLB Archetypes'!$F$13)^2)</f>
        <v>7.14142842854285</v>
      </c>
      <c r="AX36" s="6" t="n">
        <f aca="false">SQRT((H36-'MLB Archetypes'!$C$14)^2+(I36-'MLB Archetypes'!$D$14)^2+(J36-'MLB Archetypes'!$E$14)^2+(K36-'MLB Archetypes'!$F$14)^2)</f>
        <v>6.16441400296898</v>
      </c>
      <c r="AY36" s="6" t="n">
        <f aca="false">SQRT((H36-'MLB Archetypes'!$C$15)^2+(I36-'MLB Archetypes'!$D$15)^2+(J36-'MLB Archetypes'!$E$15)^2+(K36-'MLB Archetypes'!$F$15)^2)</f>
        <v>5.19615242270663</v>
      </c>
      <c r="AZ36" s="6" t="n">
        <f aca="false">SQRT((H36-'MLB Archetypes'!$C$16)^2+(I36-'MLB Archetypes'!$D$16)^2+(J36-'MLB Archetypes'!$E$16)^2+(K36-'MLB Archetypes'!$F$16)^2)</f>
        <v>7.93725393319377</v>
      </c>
      <c r="BA36" s="6" t="n">
        <f aca="false">SQRT((H36-'MLB Archetypes'!$C$17)^2+(I36-'MLB Archetypes'!$D$17)^2+(J36-'MLB Archetypes'!$E$17)^2+(K36-'MLB Archetypes'!$F$17)^2)</f>
        <v>6.2449979983984</v>
      </c>
      <c r="BB36" s="6" t="n">
        <f aca="false">SQRT((H36-'MLB Archetypes'!$C$18)^2+(I36-'MLB Archetypes'!$D$18)^2+(J36-'MLB Archetypes'!$E$18)^2+(K36-'MLB Archetypes'!$F$18)^2)</f>
        <v>6.16441400296898</v>
      </c>
      <c r="BC36" s="6" t="n">
        <f aca="false">SQRT((H36-'MLB Archetypes'!$C$19)^2+(I36-'MLB Archetypes'!$D$19)^2+(J36-'MLB Archetypes'!$E$19)^2+(K36-'MLB Archetypes'!$F$19)^2)</f>
        <v>6.85565460040104</v>
      </c>
      <c r="BD36" s="4" t="str">
        <f aca="false">INDEX('MLB Archetypes'!$B$2:$B$19,MATCH(MIN(AL36:BC36),AL36:BC36,0))</f>
        <v>Rickey Henderson</v>
      </c>
      <c r="BE36" s="7" t="n">
        <f aca="false">ROUND(10-MIN(AL36:BC36)/1.8,1)</f>
        <v>7.1</v>
      </c>
    </row>
    <row r="37" customFormat="false" ht="15" hidden="false" customHeight="false" outlineLevel="0" collapsed="false">
      <c r="A37" s="2" t="s">
        <v>102</v>
      </c>
      <c r="B37" s="2" t="s">
        <v>54</v>
      </c>
      <c r="C37" s="2" t="s">
        <v>102</v>
      </c>
      <c r="D37" s="2" t="s">
        <v>50</v>
      </c>
      <c r="E37" s="2" t="s">
        <v>50</v>
      </c>
      <c r="F37" s="2" t="s">
        <v>52</v>
      </c>
      <c r="G37" s="2" t="s">
        <v>52</v>
      </c>
      <c r="H37" s="3" t="n">
        <v>5</v>
      </c>
      <c r="I37" s="3" t="n">
        <v>3</v>
      </c>
      <c r="J37" s="3" t="n">
        <v>4</v>
      </c>
      <c r="K37" s="3" t="n">
        <v>8</v>
      </c>
      <c r="L37" s="4" t="n">
        <f aca="false">H37+I37+J37+K37</f>
        <v>20</v>
      </c>
      <c r="M37" s="4" t="n">
        <f aca="false">ROUND(0.75*I37+0.25*K37,2)</f>
        <v>4.25</v>
      </c>
      <c r="N37" s="4" t="n">
        <f aca="false">ROUND(0.7*J37+0.3*K37,2)</f>
        <v>5.2</v>
      </c>
      <c r="O37" s="4" t="n">
        <f aca="false">ROUND((H37+J37+K37)/3,2)</f>
        <v>5.67</v>
      </c>
      <c r="P37" s="4" t="n">
        <f aca="false">ROUND(0.85*H37+0.15*J37,2)</f>
        <v>4.85</v>
      </c>
      <c r="Q37" s="4" t="n">
        <f aca="false">ROUND(0.6*J37+0.3*I37+0.1*H37,2)</f>
        <v>3.8</v>
      </c>
      <c r="R37" s="4" t="n">
        <f aca="false">ROUND(0.7*I37+0.2*J37+0.1*K37,2)</f>
        <v>3.7</v>
      </c>
      <c r="S37" s="4" t="n">
        <f aca="false">ROUND(0.13*I37+0.35*J37+0.52*K37,2)</f>
        <v>5.95</v>
      </c>
      <c r="T37" s="4" t="n">
        <f aca="false">ROUND(0.4*I37+0.5*J37+0.1*K37,2)</f>
        <v>4</v>
      </c>
      <c r="U37" s="4" t="n">
        <f aca="false">ROUND(0.1*I37+0.55*J37+0.35*K37,2)</f>
        <v>5.3</v>
      </c>
      <c r="V37" s="4" t="n">
        <f aca="false">ROUND(0.6*I37+0.1*J37+0.3*K37,2)</f>
        <v>4.6</v>
      </c>
      <c r="W37" s="4" t="n">
        <f aca="false">ROUND(0.15*I37+0.3*J37+0.55*K37,2)</f>
        <v>6.05</v>
      </c>
      <c r="X37" s="4" t="n">
        <f aca="false">ROUND(0.46*I37+0.46*J37+0.08*K37,2)</f>
        <v>3.86</v>
      </c>
      <c r="Y37" s="4" t="str">
        <f aca="false">IF(H37=MAX(H37:K37),"Pitcher (arm-first)",IF(I37=MAX(H37:K37),"Bat-first (corner/1B/DH)",IF(J37=MAX(H37:K37),"Defense-first (up-the-middle)","Speed-first (CF/leadoff)")))</f>
        <v>Speed-first (CF/leadoff)</v>
      </c>
      <c r="Z37" s="5" t="n">
        <f aca="false">P37</f>
        <v>4.85</v>
      </c>
      <c r="AA37" s="5" t="n">
        <f aca="false">IF(F37="Right",Q37,-1)</f>
        <v>3.8</v>
      </c>
      <c r="AB37" s="5" t="n">
        <f aca="false">R37</f>
        <v>3.7</v>
      </c>
      <c r="AC37" s="5" t="n">
        <f aca="false">IF(F37="Right",S37,-1)</f>
        <v>5.95</v>
      </c>
      <c r="AD37" s="5" t="n">
        <f aca="false">IF(F37="Right",T37,-1)</f>
        <v>4</v>
      </c>
      <c r="AE37" s="5" t="n">
        <f aca="false">IF(F37="Right",U37,-1)</f>
        <v>5.3</v>
      </c>
      <c r="AF37" s="5" t="n">
        <f aca="false">V37</f>
        <v>4.6</v>
      </c>
      <c r="AG37" s="5" t="n">
        <f aca="false">W37</f>
        <v>6.05</v>
      </c>
      <c r="AH37" s="5" t="n">
        <f aca="false">X37</f>
        <v>3.86</v>
      </c>
      <c r="AI37" s="4" t="str">
        <f aca="false">INDEX($Z$1:$AH$1,MATCH(MAX(Z37:AH37),Z37:AH37,0))</f>
        <v>CF</v>
      </c>
      <c r="AJ37" s="4" t="n">
        <f aca="false">MAX(Z37:AH37)</f>
        <v>6.05</v>
      </c>
      <c r="AK37" s="4" t="n">
        <f aca="false">SUMPRODUCT(($AI$2:$AI$73=AI37)*($AJ$2:$AJ$73&gt;AJ37))+SUMPRODUCT(($AI$2:$AI$73=AI37)*($AJ$2:$AJ$73=AJ37)*(ROW($AI$2:$AI$73)&lt;ROW(AI37)))+1</f>
        <v>6</v>
      </c>
      <c r="AL37" s="6" t="n">
        <f aca="false">SQRT((H37-'MLB Archetypes'!$C$2)^2+(I37-'MLB Archetypes'!$D$2)^2+(J37-'MLB Archetypes'!$E$2)^2+(K37-'MLB Archetypes'!$F$2)^2)</f>
        <v>7.21110255092798</v>
      </c>
      <c r="AM37" s="6" t="n">
        <f aca="false">SQRT((H37-'MLB Archetypes'!$C$3)^2+(I37-'MLB Archetypes'!$D$3)^2+(J37-'MLB Archetypes'!$E$3)^2+(K37-'MLB Archetypes'!$F$3)^2)</f>
        <v>6.70820393249937</v>
      </c>
      <c r="AN37" s="6" t="n">
        <f aca="false">SQRT((H37-'MLB Archetypes'!$C$4)^2+(I37-'MLB Archetypes'!$D$4)^2+(J37-'MLB Archetypes'!$E$4)^2+(K37-'MLB Archetypes'!$F$4)^2)</f>
        <v>8.66025403784439</v>
      </c>
      <c r="AO37" s="6" t="n">
        <f aca="false">SQRT((H37-'MLB Archetypes'!$C$5)^2+(I37-'MLB Archetypes'!$D$5)^2+(J37-'MLB Archetypes'!$E$5)^2+(K37-'MLB Archetypes'!$F$5)^2)</f>
        <v>7.07106781186548</v>
      </c>
      <c r="AP37" s="6" t="n">
        <f aca="false">SQRT((H37-'MLB Archetypes'!$C$6)^2+(I37-'MLB Archetypes'!$D$6)^2+(J37-'MLB Archetypes'!$E$6)^2+(K37-'MLB Archetypes'!$F$6)^2)</f>
        <v>8.60232526704263</v>
      </c>
      <c r="AQ37" s="6" t="n">
        <f aca="false">SQRT((H37-'MLB Archetypes'!$C$7)^2+(I37-'MLB Archetypes'!$D$7)^2+(J37-'MLB Archetypes'!$E$7)^2+(K37-'MLB Archetypes'!$F$7)^2)</f>
        <v>7.68114574786861</v>
      </c>
      <c r="AR37" s="6" t="n">
        <f aca="false">SQRT((H37-'MLB Archetypes'!$C$8)^2+(I37-'MLB Archetypes'!$D$8)^2+(J37-'MLB Archetypes'!$E$8)^2+(K37-'MLB Archetypes'!$F$8)^2)</f>
        <v>5.19615242270663</v>
      </c>
      <c r="AS37" s="6" t="n">
        <f aca="false">SQRT((H37-'MLB Archetypes'!$C$9)^2+(I37-'MLB Archetypes'!$D$9)^2+(J37-'MLB Archetypes'!$E$9)^2+(K37-'MLB Archetypes'!$F$9)^2)</f>
        <v>6.70820393249937</v>
      </c>
      <c r="AT37" s="6" t="n">
        <f aca="false">SQRT((H37-'MLB Archetypes'!$C$10)^2+(I37-'MLB Archetypes'!$D$10)^2+(J37-'MLB Archetypes'!$E$10)^2+(K37-'MLB Archetypes'!$F$10)^2)</f>
        <v>8.12403840463596</v>
      </c>
      <c r="AU37" s="6" t="n">
        <f aca="false">SQRT((H37-'MLB Archetypes'!$C$11)^2+(I37-'MLB Archetypes'!$D$11)^2+(J37-'MLB Archetypes'!$E$11)^2+(K37-'MLB Archetypes'!$F$11)^2)</f>
        <v>8.06225774829855</v>
      </c>
      <c r="AV37" s="6" t="n">
        <f aca="false">SQRT((H37-'MLB Archetypes'!$C$12)^2+(I37-'MLB Archetypes'!$D$12)^2+(J37-'MLB Archetypes'!$E$12)^2+(K37-'MLB Archetypes'!$F$12)^2)</f>
        <v>6.78232998312527</v>
      </c>
      <c r="AW37" s="6" t="n">
        <f aca="false">SQRT((H37-'MLB Archetypes'!$C$13)^2+(I37-'MLB Archetypes'!$D$13)^2+(J37-'MLB Archetypes'!$E$13)^2+(K37-'MLB Archetypes'!$F$13)^2)</f>
        <v>7.68114574786861</v>
      </c>
      <c r="AX37" s="6" t="n">
        <f aca="false">SQRT((H37-'MLB Archetypes'!$C$14)^2+(I37-'MLB Archetypes'!$D$14)^2+(J37-'MLB Archetypes'!$E$14)^2+(K37-'MLB Archetypes'!$F$14)^2)</f>
        <v>7.61577310586391</v>
      </c>
      <c r="AY37" s="6" t="n">
        <f aca="false">SQRT((H37-'MLB Archetypes'!$C$15)^2+(I37-'MLB Archetypes'!$D$15)^2+(J37-'MLB Archetypes'!$E$15)^2+(K37-'MLB Archetypes'!$F$15)^2)</f>
        <v>4.79583152331272</v>
      </c>
      <c r="AZ37" s="6" t="n">
        <f aca="false">SQRT((H37-'MLB Archetypes'!$C$16)^2+(I37-'MLB Archetypes'!$D$16)^2+(J37-'MLB Archetypes'!$E$16)^2+(K37-'MLB Archetypes'!$F$16)^2)</f>
        <v>7.68114574786861</v>
      </c>
      <c r="BA37" s="6" t="n">
        <f aca="false">SQRT((H37-'MLB Archetypes'!$C$17)^2+(I37-'MLB Archetypes'!$D$17)^2+(J37-'MLB Archetypes'!$E$17)^2+(K37-'MLB Archetypes'!$F$17)^2)</f>
        <v>5.91607978309962</v>
      </c>
      <c r="BB37" s="6" t="n">
        <f aca="false">SQRT((H37-'MLB Archetypes'!$C$18)^2+(I37-'MLB Archetypes'!$D$18)^2+(J37-'MLB Archetypes'!$E$18)^2+(K37-'MLB Archetypes'!$F$18)^2)</f>
        <v>7.61577310586391</v>
      </c>
      <c r="BC37" s="6" t="n">
        <f aca="false">SQRT((H37-'MLB Archetypes'!$C$19)^2+(I37-'MLB Archetypes'!$D$19)^2+(J37-'MLB Archetypes'!$E$19)^2+(K37-'MLB Archetypes'!$F$19)^2)</f>
        <v>6.70820393249937</v>
      </c>
      <c r="BD37" s="4" t="str">
        <f aca="false">INDEX('MLB Archetypes'!$B$2:$B$19,MATCH(MIN(AL37:BC37),AL37:BC37,0))</f>
        <v>Rickey Henderson</v>
      </c>
      <c r="BE37" s="7" t="n">
        <f aca="false">ROUND(10-MIN(AL37:BC37)/1.8,1)</f>
        <v>7.3</v>
      </c>
    </row>
    <row r="38" customFormat="false" ht="15" hidden="false" customHeight="false" outlineLevel="0" collapsed="false">
      <c r="A38" s="2" t="s">
        <v>103</v>
      </c>
      <c r="B38" s="2" t="s">
        <v>54</v>
      </c>
      <c r="C38" s="2" t="s">
        <v>103</v>
      </c>
      <c r="D38" s="2" t="s">
        <v>50</v>
      </c>
      <c r="E38" s="2" t="s">
        <v>50</v>
      </c>
      <c r="F38" s="2" t="s">
        <v>52</v>
      </c>
      <c r="G38" s="2" t="s">
        <v>52</v>
      </c>
      <c r="H38" s="3" t="n">
        <v>7</v>
      </c>
      <c r="I38" s="3" t="n">
        <v>3</v>
      </c>
      <c r="J38" s="3" t="n">
        <v>7</v>
      </c>
      <c r="K38" s="3" t="n">
        <v>3</v>
      </c>
      <c r="L38" s="4" t="n">
        <f aca="false">H38+I38+J38+K38</f>
        <v>20</v>
      </c>
      <c r="M38" s="4" t="n">
        <f aca="false">ROUND(0.75*I38+0.25*K38,2)</f>
        <v>3</v>
      </c>
      <c r="N38" s="4" t="n">
        <f aca="false">ROUND(0.7*J38+0.3*K38,2)</f>
        <v>5.8</v>
      </c>
      <c r="O38" s="4" t="n">
        <f aca="false">ROUND((H38+J38+K38)/3,2)</f>
        <v>5.67</v>
      </c>
      <c r="P38" s="4" t="n">
        <f aca="false">ROUND(0.85*H38+0.15*J38,2)</f>
        <v>7</v>
      </c>
      <c r="Q38" s="4" t="n">
        <f aca="false">ROUND(0.6*J38+0.3*I38+0.1*H38,2)</f>
        <v>5.8</v>
      </c>
      <c r="R38" s="4" t="n">
        <f aca="false">ROUND(0.7*I38+0.2*J38+0.1*K38,2)</f>
        <v>3.8</v>
      </c>
      <c r="S38" s="4" t="n">
        <f aca="false">ROUND(0.13*I38+0.35*J38+0.52*K38,2)</f>
        <v>4.4</v>
      </c>
      <c r="T38" s="4" t="n">
        <f aca="false">ROUND(0.4*I38+0.5*J38+0.1*K38,2)</f>
        <v>5</v>
      </c>
      <c r="U38" s="4" t="n">
        <f aca="false">ROUND(0.1*I38+0.55*J38+0.35*K38,2)</f>
        <v>5.2</v>
      </c>
      <c r="V38" s="4" t="n">
        <f aca="false">ROUND(0.6*I38+0.1*J38+0.3*K38,2)</f>
        <v>3.4</v>
      </c>
      <c r="W38" s="4" t="n">
        <f aca="false">ROUND(0.15*I38+0.3*J38+0.55*K38,2)</f>
        <v>4.2</v>
      </c>
      <c r="X38" s="4" t="n">
        <f aca="false">ROUND(0.46*I38+0.46*J38+0.08*K38,2)</f>
        <v>4.84</v>
      </c>
      <c r="Y38" s="4" t="str">
        <f aca="false">IF(H38=MAX(H38:K38),"Pitcher (arm-first)",IF(I38=MAX(H38:K38),"Bat-first (corner/1B/DH)",IF(J38=MAX(H38:K38),"Defense-first (up-the-middle)","Speed-first (CF/leadoff)")))</f>
        <v>Pitcher (arm-first)</v>
      </c>
      <c r="Z38" s="5" t="n">
        <f aca="false">P38</f>
        <v>7</v>
      </c>
      <c r="AA38" s="5" t="n">
        <f aca="false">IF(F38="Right",Q38,-1)</f>
        <v>5.8</v>
      </c>
      <c r="AB38" s="5" t="n">
        <f aca="false">R38</f>
        <v>3.8</v>
      </c>
      <c r="AC38" s="5" t="n">
        <f aca="false">IF(F38="Right",S38,-1)</f>
        <v>4.4</v>
      </c>
      <c r="AD38" s="5" t="n">
        <f aca="false">IF(F38="Right",T38,-1)</f>
        <v>5</v>
      </c>
      <c r="AE38" s="5" t="n">
        <f aca="false">IF(F38="Right",U38,-1)</f>
        <v>5.2</v>
      </c>
      <c r="AF38" s="5" t="n">
        <f aca="false">V38</f>
        <v>3.4</v>
      </c>
      <c r="AG38" s="5" t="n">
        <f aca="false">W38</f>
        <v>4.2</v>
      </c>
      <c r="AH38" s="5" t="n">
        <f aca="false">X38</f>
        <v>4.84</v>
      </c>
      <c r="AI38" s="4" t="str">
        <f aca="false">INDEX($Z$1:$AH$1,MATCH(MAX(Z38:AH38),Z38:AH38,0))</f>
        <v>P</v>
      </c>
      <c r="AJ38" s="4" t="n">
        <f aca="false">MAX(Z38:AH38)</f>
        <v>7</v>
      </c>
      <c r="AK38" s="4" t="n">
        <f aca="false">SUMPRODUCT(($AI$2:$AI$73=AI38)*($AJ$2:$AJ$73&gt;AJ38))+SUMPRODUCT(($AI$2:$AI$73=AI38)*($AJ$2:$AJ$73=AJ38)*(ROW($AI$2:$AI$73)&lt;ROW(AI38)))+1</f>
        <v>9</v>
      </c>
      <c r="AL38" s="6" t="n">
        <f aca="false">SQRT((H38-'MLB Archetypes'!$C$2)^2+(I38-'MLB Archetypes'!$D$2)^2+(J38-'MLB Archetypes'!$E$2)^2+(K38-'MLB Archetypes'!$F$2)^2)</f>
        <v>3.74165738677394</v>
      </c>
      <c r="AM38" s="6" t="n">
        <f aca="false">SQRT((H38-'MLB Archetypes'!$C$3)^2+(I38-'MLB Archetypes'!$D$3)^2+(J38-'MLB Archetypes'!$E$3)^2+(K38-'MLB Archetypes'!$F$3)^2)</f>
        <v>2.23606797749979</v>
      </c>
      <c r="AN38" s="6" t="n">
        <f aca="false">SQRT((H38-'MLB Archetypes'!$C$4)^2+(I38-'MLB Archetypes'!$D$4)^2+(J38-'MLB Archetypes'!$E$4)^2+(K38-'MLB Archetypes'!$F$4)^2)</f>
        <v>6.70820393249937</v>
      </c>
      <c r="AO38" s="6" t="n">
        <f aca="false">SQRT((H38-'MLB Archetypes'!$C$5)^2+(I38-'MLB Archetypes'!$D$5)^2+(J38-'MLB Archetypes'!$E$5)^2+(K38-'MLB Archetypes'!$F$5)^2)</f>
        <v>6</v>
      </c>
      <c r="AP38" s="6" t="n">
        <f aca="false">SQRT((H38-'MLB Archetypes'!$C$6)^2+(I38-'MLB Archetypes'!$D$6)^2+(J38-'MLB Archetypes'!$E$6)^2+(K38-'MLB Archetypes'!$F$6)^2)</f>
        <v>7.87400787401181</v>
      </c>
      <c r="AQ38" s="6" t="n">
        <f aca="false">SQRT((H38-'MLB Archetypes'!$C$7)^2+(I38-'MLB Archetypes'!$D$7)^2+(J38-'MLB Archetypes'!$E$7)^2+(K38-'MLB Archetypes'!$F$7)^2)</f>
        <v>6.2449979983984</v>
      </c>
      <c r="AR38" s="6" t="n">
        <f aca="false">SQRT((H38-'MLB Archetypes'!$C$8)^2+(I38-'MLB Archetypes'!$D$8)^2+(J38-'MLB Archetypes'!$E$8)^2+(K38-'MLB Archetypes'!$F$8)^2)</f>
        <v>7.68114574786861</v>
      </c>
      <c r="AS38" s="6" t="n">
        <f aca="false">SQRT((H38-'MLB Archetypes'!$C$9)^2+(I38-'MLB Archetypes'!$D$9)^2+(J38-'MLB Archetypes'!$E$9)^2+(K38-'MLB Archetypes'!$F$9)^2)</f>
        <v>7.14142842854285</v>
      </c>
      <c r="AT38" s="6" t="n">
        <f aca="false">SQRT((H38-'MLB Archetypes'!$C$10)^2+(I38-'MLB Archetypes'!$D$10)^2+(J38-'MLB Archetypes'!$E$10)^2+(K38-'MLB Archetypes'!$F$10)^2)</f>
        <v>7.21110255092798</v>
      </c>
      <c r="AU38" s="6" t="n">
        <f aca="false">SQRT((H38-'MLB Archetypes'!$C$11)^2+(I38-'MLB Archetypes'!$D$11)^2+(J38-'MLB Archetypes'!$E$11)^2+(K38-'MLB Archetypes'!$F$11)^2)</f>
        <v>7.93725393319377</v>
      </c>
      <c r="AV38" s="6" t="n">
        <f aca="false">SQRT((H38-'MLB Archetypes'!$C$12)^2+(I38-'MLB Archetypes'!$D$12)^2+(J38-'MLB Archetypes'!$E$12)^2+(K38-'MLB Archetypes'!$F$12)^2)</f>
        <v>7.07106781186548</v>
      </c>
      <c r="AW38" s="6" t="n">
        <f aca="false">SQRT((H38-'MLB Archetypes'!$C$13)^2+(I38-'MLB Archetypes'!$D$13)^2+(J38-'MLB Archetypes'!$E$13)^2+(K38-'MLB Archetypes'!$F$13)^2)</f>
        <v>6.40312423743285</v>
      </c>
      <c r="AX38" s="6" t="n">
        <f aca="false">SQRT((H38-'MLB Archetypes'!$C$14)^2+(I38-'MLB Archetypes'!$D$14)^2+(J38-'MLB Archetypes'!$E$14)^2+(K38-'MLB Archetypes'!$F$14)^2)</f>
        <v>8.12403840463596</v>
      </c>
      <c r="AY38" s="6" t="n">
        <f aca="false">SQRT((H38-'MLB Archetypes'!$C$15)^2+(I38-'MLB Archetypes'!$D$15)^2+(J38-'MLB Archetypes'!$E$15)^2+(K38-'MLB Archetypes'!$F$15)^2)</f>
        <v>9.32737905308882</v>
      </c>
      <c r="AZ38" s="6" t="n">
        <f aca="false">SQRT((H38-'MLB Archetypes'!$C$16)^2+(I38-'MLB Archetypes'!$D$16)^2+(J38-'MLB Archetypes'!$E$16)^2+(K38-'MLB Archetypes'!$F$16)^2)</f>
        <v>8.88819441731559</v>
      </c>
      <c r="BA38" s="6" t="n">
        <f aca="false">SQRT((H38-'MLB Archetypes'!$C$17)^2+(I38-'MLB Archetypes'!$D$17)^2+(J38-'MLB Archetypes'!$E$17)^2+(K38-'MLB Archetypes'!$F$17)^2)</f>
        <v>8.77496438739212</v>
      </c>
      <c r="BB38" s="6" t="n">
        <f aca="false">SQRT((H38-'MLB Archetypes'!$C$18)^2+(I38-'MLB Archetypes'!$D$18)^2+(J38-'MLB Archetypes'!$E$18)^2+(K38-'MLB Archetypes'!$F$18)^2)</f>
        <v>8.12403840463596</v>
      </c>
      <c r="BC38" s="6" t="n">
        <f aca="false">SQRT((H38-'MLB Archetypes'!$C$19)^2+(I38-'MLB Archetypes'!$D$19)^2+(J38-'MLB Archetypes'!$E$19)^2+(K38-'MLB Archetypes'!$F$19)^2)</f>
        <v>7.14142842854285</v>
      </c>
      <c r="BD38" s="4" t="str">
        <f aca="false">INDEX('MLB Archetypes'!$B$2:$B$19,MATCH(MIN(AL38:BC38),AL38:BC38,0))</f>
        <v>Greg Maddux</v>
      </c>
      <c r="BE38" s="7" t="n">
        <f aca="false">ROUND(10-MIN(AL38:BC38)/1.8,1)</f>
        <v>8.8</v>
      </c>
    </row>
    <row r="39" customFormat="false" ht="15" hidden="false" customHeight="false" outlineLevel="0" collapsed="false">
      <c r="A39" s="2" t="s">
        <v>104</v>
      </c>
      <c r="B39" s="2" t="s">
        <v>54</v>
      </c>
      <c r="C39" s="2" t="s">
        <v>104</v>
      </c>
      <c r="D39" s="2" t="s">
        <v>50</v>
      </c>
      <c r="E39" s="2" t="s">
        <v>50</v>
      </c>
      <c r="F39" s="2" t="s">
        <v>52</v>
      </c>
      <c r="G39" s="2" t="s">
        <v>57</v>
      </c>
      <c r="H39" s="3" t="n">
        <v>4</v>
      </c>
      <c r="I39" s="3" t="n">
        <v>10</v>
      </c>
      <c r="J39" s="3" t="n">
        <v>5</v>
      </c>
      <c r="K39" s="3" t="n">
        <v>2</v>
      </c>
      <c r="L39" s="4" t="n">
        <f aca="false">H39+I39+J39+K39</f>
        <v>21</v>
      </c>
      <c r="M39" s="4" t="n">
        <f aca="false">ROUND(0.75*I39+0.25*K39,2)</f>
        <v>8</v>
      </c>
      <c r="N39" s="4" t="n">
        <f aca="false">ROUND(0.7*J39+0.3*K39,2)</f>
        <v>4.1</v>
      </c>
      <c r="O39" s="4" t="n">
        <f aca="false">ROUND((H39+J39+K39)/3,2)</f>
        <v>3.67</v>
      </c>
      <c r="P39" s="4" t="n">
        <f aca="false">ROUND(0.85*H39+0.15*J39,2)</f>
        <v>4.15</v>
      </c>
      <c r="Q39" s="4" t="n">
        <f aca="false">ROUND(0.6*J39+0.3*I39+0.1*H39,2)</f>
        <v>6.4</v>
      </c>
      <c r="R39" s="4" t="n">
        <f aca="false">ROUND(0.7*I39+0.2*J39+0.1*K39,2)</f>
        <v>8.2</v>
      </c>
      <c r="S39" s="4" t="n">
        <f aca="false">ROUND(0.13*I39+0.35*J39+0.52*K39,2)</f>
        <v>4.09</v>
      </c>
      <c r="T39" s="4" t="n">
        <f aca="false">ROUND(0.4*I39+0.5*J39+0.1*K39,2)</f>
        <v>6.7</v>
      </c>
      <c r="U39" s="4" t="n">
        <f aca="false">ROUND(0.1*I39+0.55*J39+0.35*K39,2)</f>
        <v>4.45</v>
      </c>
      <c r="V39" s="4" t="n">
        <f aca="false">ROUND(0.6*I39+0.1*J39+0.3*K39,2)</f>
        <v>7.1</v>
      </c>
      <c r="W39" s="4" t="n">
        <f aca="false">ROUND(0.15*I39+0.3*J39+0.55*K39,2)</f>
        <v>4.1</v>
      </c>
      <c r="X39" s="4" t="n">
        <f aca="false">ROUND(0.46*I39+0.46*J39+0.08*K39,2)</f>
        <v>7.06</v>
      </c>
      <c r="Y39" s="4" t="str">
        <f aca="false">IF(H39=MAX(H39:K39),"Pitcher (arm-first)",IF(I39=MAX(H39:K39),"Bat-first (corner/1B/DH)",IF(J39=MAX(H39:K39),"Defense-first (up-the-middle)","Speed-first (CF/leadoff)")))</f>
        <v>Bat-first (corner/1B/DH)</v>
      </c>
      <c r="Z39" s="5" t="n">
        <f aca="false">P39</f>
        <v>4.15</v>
      </c>
      <c r="AA39" s="5" t="n">
        <f aca="false">IF(F39="Right",Q39,-1)</f>
        <v>6.4</v>
      </c>
      <c r="AB39" s="5" t="n">
        <f aca="false">R39</f>
        <v>8.2</v>
      </c>
      <c r="AC39" s="5" t="n">
        <f aca="false">IF(F39="Right",S39,-1)</f>
        <v>4.09</v>
      </c>
      <c r="AD39" s="5" t="n">
        <f aca="false">IF(F39="Right",T39,-1)</f>
        <v>6.7</v>
      </c>
      <c r="AE39" s="5" t="n">
        <f aca="false">IF(F39="Right",U39,-1)</f>
        <v>4.45</v>
      </c>
      <c r="AF39" s="5" t="n">
        <f aca="false">V39</f>
        <v>7.1</v>
      </c>
      <c r="AG39" s="5" t="n">
        <f aca="false">W39</f>
        <v>4.1</v>
      </c>
      <c r="AH39" s="5" t="n">
        <f aca="false">X39</f>
        <v>7.06</v>
      </c>
      <c r="AI39" s="4" t="str">
        <f aca="false">INDEX($Z$1:$AH$1,MATCH(MAX(Z39:AH39),Z39:AH39,0))</f>
        <v>1B</v>
      </c>
      <c r="AJ39" s="4" t="n">
        <f aca="false">MAX(Z39:AH39)</f>
        <v>8.2</v>
      </c>
      <c r="AK39" s="4" t="n">
        <f aca="false">SUMPRODUCT(($AI$2:$AI$73=AI39)*($AJ$2:$AJ$73&gt;AJ39))+SUMPRODUCT(($AI$2:$AI$73=AI39)*($AJ$2:$AJ$73=AJ39)*(ROW($AI$2:$AI$73)&lt;ROW(AI39)))+1</f>
        <v>1</v>
      </c>
      <c r="AL39" s="6" t="n">
        <f aca="false">SQRT((H39-'MLB Archetypes'!$C$2)^2+(I39-'MLB Archetypes'!$D$2)^2+(J39-'MLB Archetypes'!$E$2)^2+(K39-'MLB Archetypes'!$F$2)^2)</f>
        <v>10.0498756211209</v>
      </c>
      <c r="AM39" s="6" t="n">
        <f aca="false">SQRT((H39-'MLB Archetypes'!$C$3)^2+(I39-'MLB Archetypes'!$D$3)^2+(J39-'MLB Archetypes'!$E$3)^2+(K39-'MLB Archetypes'!$F$3)^2)</f>
        <v>8.71779788708135</v>
      </c>
      <c r="AN39" s="6" t="n">
        <f aca="false">SQRT((H39-'MLB Archetypes'!$C$4)^2+(I39-'MLB Archetypes'!$D$4)^2+(J39-'MLB Archetypes'!$E$4)^2+(K39-'MLB Archetypes'!$F$4)^2)</f>
        <v>5.47722557505166</v>
      </c>
      <c r="AO39" s="6" t="n">
        <f aca="false">SQRT((H39-'MLB Archetypes'!$C$5)^2+(I39-'MLB Archetypes'!$D$5)^2+(J39-'MLB Archetypes'!$E$5)^2+(K39-'MLB Archetypes'!$F$5)^2)</f>
        <v>5.74456264653803</v>
      </c>
      <c r="AP39" s="6" t="n">
        <f aca="false">SQRT((H39-'MLB Archetypes'!$C$6)^2+(I39-'MLB Archetypes'!$D$6)^2+(J39-'MLB Archetypes'!$E$6)^2+(K39-'MLB Archetypes'!$F$6)^2)</f>
        <v>2.64575131106459</v>
      </c>
      <c r="AQ39" s="6" t="n">
        <f aca="false">SQRT((H39-'MLB Archetypes'!$C$7)^2+(I39-'MLB Archetypes'!$D$7)^2+(J39-'MLB Archetypes'!$E$7)^2+(K39-'MLB Archetypes'!$F$7)^2)</f>
        <v>6.32455532033676</v>
      </c>
      <c r="AR39" s="6" t="n">
        <f aca="false">SQRT((H39-'MLB Archetypes'!$C$8)^2+(I39-'MLB Archetypes'!$D$8)^2+(J39-'MLB Archetypes'!$E$8)^2+(K39-'MLB Archetypes'!$F$8)^2)</f>
        <v>7.74596669241483</v>
      </c>
      <c r="AS39" s="6" t="n">
        <f aca="false">SQRT((H39-'MLB Archetypes'!$C$9)^2+(I39-'MLB Archetypes'!$D$9)^2+(J39-'MLB Archetypes'!$E$9)^2+(K39-'MLB Archetypes'!$F$9)^2)</f>
        <v>6.16441400296898</v>
      </c>
      <c r="AT39" s="6" t="n">
        <f aca="false">SQRT((H39-'MLB Archetypes'!$C$10)^2+(I39-'MLB Archetypes'!$D$10)^2+(J39-'MLB Archetypes'!$E$10)^2+(K39-'MLB Archetypes'!$F$10)^2)</f>
        <v>4.58257569495584</v>
      </c>
      <c r="AU39" s="6" t="n">
        <f aca="false">SQRT((H39-'MLB Archetypes'!$C$11)^2+(I39-'MLB Archetypes'!$D$11)^2+(J39-'MLB Archetypes'!$E$11)^2+(K39-'MLB Archetypes'!$F$11)^2)</f>
        <v>3.16227766016838</v>
      </c>
      <c r="AV39" s="6" t="n">
        <f aca="false">SQRT((H39-'MLB Archetypes'!$C$12)^2+(I39-'MLB Archetypes'!$D$12)^2+(J39-'MLB Archetypes'!$E$12)^2+(K39-'MLB Archetypes'!$F$12)^2)</f>
        <v>10.1488915650922</v>
      </c>
      <c r="AW39" s="6" t="n">
        <f aca="false">SQRT((H39-'MLB Archetypes'!$C$13)^2+(I39-'MLB Archetypes'!$D$13)^2+(J39-'MLB Archetypes'!$E$13)^2+(K39-'MLB Archetypes'!$F$13)^2)</f>
        <v>4.24264068711929</v>
      </c>
      <c r="AX39" s="6" t="n">
        <f aca="false">SQRT((H39-'MLB Archetypes'!$C$14)^2+(I39-'MLB Archetypes'!$D$14)^2+(J39-'MLB Archetypes'!$E$14)^2+(K39-'MLB Archetypes'!$F$14)^2)</f>
        <v>3.87298334620742</v>
      </c>
      <c r="AY39" s="6" t="n">
        <f aca="false">SQRT((H39-'MLB Archetypes'!$C$15)^2+(I39-'MLB Archetypes'!$D$15)^2+(J39-'MLB Archetypes'!$E$15)^2+(K39-'MLB Archetypes'!$F$15)^2)</f>
        <v>9.16515138991168</v>
      </c>
      <c r="AZ39" s="6" t="n">
        <f aca="false">SQRT((H39-'MLB Archetypes'!$C$16)^2+(I39-'MLB Archetypes'!$D$16)^2+(J39-'MLB Archetypes'!$E$16)^2+(K39-'MLB Archetypes'!$F$16)^2)</f>
        <v>7.74596669241483</v>
      </c>
      <c r="BA39" s="6" t="n">
        <f aca="false">SQRT((H39-'MLB Archetypes'!$C$17)^2+(I39-'MLB Archetypes'!$D$17)^2+(J39-'MLB Archetypes'!$E$17)^2+(K39-'MLB Archetypes'!$F$17)^2)</f>
        <v>8.12403840463596</v>
      </c>
      <c r="BB39" s="6" t="n">
        <f aca="false">SQRT((H39-'MLB Archetypes'!$C$18)^2+(I39-'MLB Archetypes'!$D$18)^2+(J39-'MLB Archetypes'!$E$18)^2+(K39-'MLB Archetypes'!$F$18)^2)</f>
        <v>3.87298334620742</v>
      </c>
      <c r="BC39" s="6" t="n">
        <f aca="false">SQRT((H39-'MLB Archetypes'!$C$19)^2+(I39-'MLB Archetypes'!$D$19)^2+(J39-'MLB Archetypes'!$E$19)^2+(K39-'MLB Archetypes'!$F$19)^2)</f>
        <v>6.16441400296898</v>
      </c>
      <c r="BD39" s="4" t="str">
        <f aca="false">INDEX('MLB Archetypes'!$B$2:$B$19,MATCH(MIN(AL39:BC39),AL39:BC39,0))</f>
        <v>Albert Pujols</v>
      </c>
      <c r="BE39" s="7" t="n">
        <f aca="false">ROUND(10-MIN(AL39:BC39)/1.8,1)</f>
        <v>8.5</v>
      </c>
    </row>
    <row r="40" customFormat="false" ht="15" hidden="false" customHeight="false" outlineLevel="0" collapsed="false">
      <c r="A40" s="2" t="s">
        <v>105</v>
      </c>
      <c r="B40" s="2" t="s">
        <v>56</v>
      </c>
      <c r="C40" s="2" t="s">
        <v>105</v>
      </c>
      <c r="D40" s="2" t="s">
        <v>51</v>
      </c>
      <c r="E40" s="2" t="s">
        <v>50</v>
      </c>
      <c r="F40" s="2" t="s">
        <v>52</v>
      </c>
      <c r="G40" s="2" t="s">
        <v>57</v>
      </c>
      <c r="H40" s="3" t="n">
        <v>4</v>
      </c>
      <c r="I40" s="3" t="n">
        <v>5</v>
      </c>
      <c r="J40" s="3" t="n">
        <v>7</v>
      </c>
      <c r="K40" s="3" t="n">
        <v>4</v>
      </c>
      <c r="L40" s="4" t="n">
        <f aca="false">H40+I40+J40+K40</f>
        <v>20</v>
      </c>
      <c r="M40" s="4" t="n">
        <f aca="false">ROUND(0.75*I40+0.25*K40,2)</f>
        <v>4.75</v>
      </c>
      <c r="N40" s="4" t="n">
        <f aca="false">ROUND(0.7*J40+0.3*K40,2)</f>
        <v>6.1</v>
      </c>
      <c r="O40" s="4" t="n">
        <f aca="false">ROUND((H40+J40+K40)/3,2)</f>
        <v>5</v>
      </c>
      <c r="P40" s="4" t="n">
        <f aca="false">ROUND(0.85*H40+0.15*J40,2)</f>
        <v>4.45</v>
      </c>
      <c r="Q40" s="4" t="n">
        <f aca="false">ROUND(0.6*J40+0.3*I40+0.1*H40,2)</f>
        <v>6.1</v>
      </c>
      <c r="R40" s="4" t="n">
        <f aca="false">ROUND(0.7*I40+0.2*J40+0.1*K40,2)</f>
        <v>5.3</v>
      </c>
      <c r="S40" s="4" t="n">
        <f aca="false">ROUND(0.13*I40+0.35*J40+0.52*K40,2)</f>
        <v>5.18</v>
      </c>
      <c r="T40" s="4" t="n">
        <f aca="false">ROUND(0.4*I40+0.5*J40+0.1*K40,2)</f>
        <v>5.9</v>
      </c>
      <c r="U40" s="4" t="n">
        <f aca="false">ROUND(0.1*I40+0.55*J40+0.35*K40,2)</f>
        <v>5.75</v>
      </c>
      <c r="V40" s="4" t="n">
        <f aca="false">ROUND(0.6*I40+0.1*J40+0.3*K40,2)</f>
        <v>4.9</v>
      </c>
      <c r="W40" s="4" t="n">
        <f aca="false">ROUND(0.15*I40+0.3*J40+0.55*K40,2)</f>
        <v>5.05</v>
      </c>
      <c r="X40" s="4" t="n">
        <f aca="false">ROUND(0.46*I40+0.46*J40+0.08*K40,2)</f>
        <v>5.84</v>
      </c>
      <c r="Y40" s="4" t="str">
        <f aca="false">IF(H40=MAX(H40:K40),"Pitcher (arm-first)",IF(I40=MAX(H40:K40),"Bat-first (corner/1B/DH)",IF(J40=MAX(H40:K40),"Defense-first (up-the-middle)","Speed-first (CF/leadoff)")))</f>
        <v>Defense-first (up-the-middle)</v>
      </c>
      <c r="Z40" s="5" t="n">
        <f aca="false">P40</f>
        <v>4.45</v>
      </c>
      <c r="AA40" s="5" t="n">
        <f aca="false">IF(F40="Right",Q40,-1)</f>
        <v>6.1</v>
      </c>
      <c r="AB40" s="5" t="n">
        <f aca="false">R40</f>
        <v>5.3</v>
      </c>
      <c r="AC40" s="5" t="n">
        <f aca="false">IF(F40="Right",S40,-1)</f>
        <v>5.18</v>
      </c>
      <c r="AD40" s="5" t="n">
        <f aca="false">IF(F40="Right",T40,-1)</f>
        <v>5.9</v>
      </c>
      <c r="AE40" s="5" t="n">
        <f aca="false">IF(F40="Right",U40,-1)</f>
        <v>5.75</v>
      </c>
      <c r="AF40" s="5" t="n">
        <f aca="false">V40</f>
        <v>4.9</v>
      </c>
      <c r="AG40" s="5" t="n">
        <f aca="false">W40</f>
        <v>5.05</v>
      </c>
      <c r="AH40" s="5" t="n">
        <f aca="false">X40</f>
        <v>5.84</v>
      </c>
      <c r="AI40" s="4" t="str">
        <f aca="false">INDEX($Z$1:$AH$1,MATCH(MAX(Z40:AH40),Z40:AH40,0))</f>
        <v>C</v>
      </c>
      <c r="AJ40" s="4" t="n">
        <f aca="false">MAX(Z40:AH40)</f>
        <v>6.1</v>
      </c>
      <c r="AK40" s="4" t="n">
        <f aca="false">SUMPRODUCT(($AI$2:$AI$73=AI40)*($AJ$2:$AJ$73&gt;AJ40))+SUMPRODUCT(($AI$2:$AI$73=AI40)*($AJ$2:$AJ$73=AJ40)*(ROW($AI$2:$AI$73)&lt;ROW(AI40)))+1</f>
        <v>7</v>
      </c>
      <c r="AL40" s="6" t="n">
        <f aca="false">SQRT((H40-'MLB Archetypes'!$C$2)^2+(I40-'MLB Archetypes'!$D$2)^2+(J40-'MLB Archetypes'!$E$2)^2+(K40-'MLB Archetypes'!$F$2)^2)</f>
        <v>7.07106781186548</v>
      </c>
      <c r="AM40" s="6" t="n">
        <f aca="false">SQRT((H40-'MLB Archetypes'!$C$3)^2+(I40-'MLB Archetypes'!$D$3)^2+(J40-'MLB Archetypes'!$E$3)^2+(K40-'MLB Archetypes'!$F$3)^2)</f>
        <v>5.56776436283002</v>
      </c>
      <c r="AN40" s="6" t="n">
        <f aca="false">SQRT((H40-'MLB Archetypes'!$C$4)^2+(I40-'MLB Archetypes'!$D$4)^2+(J40-'MLB Archetypes'!$E$4)^2+(K40-'MLB Archetypes'!$F$4)^2)</f>
        <v>3.60555127546399</v>
      </c>
      <c r="AO40" s="6" t="n">
        <f aca="false">SQRT((H40-'MLB Archetypes'!$C$5)^2+(I40-'MLB Archetypes'!$D$5)^2+(J40-'MLB Archetypes'!$E$5)^2+(K40-'MLB Archetypes'!$F$5)^2)</f>
        <v>2.44948974278318</v>
      </c>
      <c r="AP40" s="6" t="n">
        <f aca="false">SQRT((H40-'MLB Archetypes'!$C$6)^2+(I40-'MLB Archetypes'!$D$6)^2+(J40-'MLB Archetypes'!$E$6)^2+(K40-'MLB Archetypes'!$F$6)^2)</f>
        <v>4.69041575982343</v>
      </c>
      <c r="AQ40" s="6" t="n">
        <f aca="false">SQRT((H40-'MLB Archetypes'!$C$7)^2+(I40-'MLB Archetypes'!$D$7)^2+(J40-'MLB Archetypes'!$E$7)^2+(K40-'MLB Archetypes'!$F$7)^2)</f>
        <v>3</v>
      </c>
      <c r="AR40" s="6" t="n">
        <f aca="false">SQRT((H40-'MLB Archetypes'!$C$8)^2+(I40-'MLB Archetypes'!$D$8)^2+(J40-'MLB Archetypes'!$E$8)^2+(K40-'MLB Archetypes'!$F$8)^2)</f>
        <v>4.58257569495584</v>
      </c>
      <c r="AS40" s="6" t="n">
        <f aca="false">SQRT((H40-'MLB Archetypes'!$C$9)^2+(I40-'MLB Archetypes'!$D$9)^2+(J40-'MLB Archetypes'!$E$9)^2+(K40-'MLB Archetypes'!$F$9)^2)</f>
        <v>3.60555127546399</v>
      </c>
      <c r="AT40" s="6" t="n">
        <f aca="false">SQRT((H40-'MLB Archetypes'!$C$10)^2+(I40-'MLB Archetypes'!$D$10)^2+(J40-'MLB Archetypes'!$E$10)^2+(K40-'MLB Archetypes'!$F$10)^2)</f>
        <v>3.74165738677394</v>
      </c>
      <c r="AU40" s="6" t="n">
        <f aca="false">SQRT((H40-'MLB Archetypes'!$C$11)^2+(I40-'MLB Archetypes'!$D$11)^2+(J40-'MLB Archetypes'!$E$11)^2+(K40-'MLB Archetypes'!$F$11)^2)</f>
        <v>4.58257569495584</v>
      </c>
      <c r="AV40" s="6" t="n">
        <f aca="false">SQRT((H40-'MLB Archetypes'!$C$12)^2+(I40-'MLB Archetypes'!$D$12)^2+(J40-'MLB Archetypes'!$E$12)^2+(K40-'MLB Archetypes'!$F$12)^2)</f>
        <v>5.09901951359278</v>
      </c>
      <c r="AW40" s="6" t="n">
        <f aca="false">SQRT((H40-'MLB Archetypes'!$C$13)^2+(I40-'MLB Archetypes'!$D$13)^2+(J40-'MLB Archetypes'!$E$13)^2+(K40-'MLB Archetypes'!$F$13)^2)</f>
        <v>3</v>
      </c>
      <c r="AX40" s="6" t="n">
        <f aca="false">SQRT((H40-'MLB Archetypes'!$C$14)^2+(I40-'MLB Archetypes'!$D$14)^2+(J40-'MLB Archetypes'!$E$14)^2+(K40-'MLB Archetypes'!$F$14)^2)</f>
        <v>4.69041575982343</v>
      </c>
      <c r="AY40" s="6" t="n">
        <f aca="false">SQRT((H40-'MLB Archetypes'!$C$15)^2+(I40-'MLB Archetypes'!$D$15)^2+(J40-'MLB Archetypes'!$E$15)^2+(K40-'MLB Archetypes'!$F$15)^2)</f>
        <v>6.70820393249937</v>
      </c>
      <c r="AZ40" s="6" t="n">
        <f aca="false">SQRT((H40-'MLB Archetypes'!$C$16)^2+(I40-'MLB Archetypes'!$D$16)^2+(J40-'MLB Archetypes'!$E$16)^2+(K40-'MLB Archetypes'!$F$16)^2)</f>
        <v>5.74456264653803</v>
      </c>
      <c r="BA40" s="6" t="n">
        <f aca="false">SQRT((H40-'MLB Archetypes'!$C$17)^2+(I40-'MLB Archetypes'!$D$17)^2+(J40-'MLB Archetypes'!$E$17)^2+(K40-'MLB Archetypes'!$F$17)^2)</f>
        <v>5.74456264653803</v>
      </c>
      <c r="BB40" s="6" t="n">
        <f aca="false">SQRT((H40-'MLB Archetypes'!$C$18)^2+(I40-'MLB Archetypes'!$D$18)^2+(J40-'MLB Archetypes'!$E$18)^2+(K40-'MLB Archetypes'!$F$18)^2)</f>
        <v>4.69041575982343</v>
      </c>
      <c r="BC40" s="6" t="n">
        <f aca="false">SQRT((H40-'MLB Archetypes'!$C$19)^2+(I40-'MLB Archetypes'!$D$19)^2+(J40-'MLB Archetypes'!$E$19)^2+(K40-'MLB Archetypes'!$F$19)^2)</f>
        <v>3.60555127546399</v>
      </c>
      <c r="BD40" s="4" t="str">
        <f aca="false">INDEX('MLB Archetypes'!$B$2:$B$19,MATCH(MIN(AL40:BC40),AL40:BC40,0))</f>
        <v>Ivan Rodriguez</v>
      </c>
      <c r="BE40" s="7" t="n">
        <f aca="false">ROUND(10-MIN(AL40:BC40)/1.8,1)</f>
        <v>8.6</v>
      </c>
    </row>
    <row r="41" customFormat="false" ht="15" hidden="false" customHeight="false" outlineLevel="0" collapsed="false">
      <c r="A41" s="2" t="s">
        <v>106</v>
      </c>
      <c r="B41" s="2" t="s">
        <v>56</v>
      </c>
      <c r="C41" s="2" t="s">
        <v>105</v>
      </c>
      <c r="D41" s="2" t="s">
        <v>51</v>
      </c>
      <c r="E41" s="2" t="s">
        <v>50</v>
      </c>
      <c r="F41" s="2" t="s">
        <v>52</v>
      </c>
      <c r="G41" s="2" t="s">
        <v>57</v>
      </c>
      <c r="H41" s="3" t="n">
        <v>5</v>
      </c>
      <c r="I41" s="3" t="n">
        <v>4</v>
      </c>
      <c r="J41" s="3" t="n">
        <v>7</v>
      </c>
      <c r="K41" s="3" t="n">
        <v>4</v>
      </c>
      <c r="L41" s="4" t="n">
        <f aca="false">H41+I41+J41+K41</f>
        <v>20</v>
      </c>
      <c r="M41" s="4" t="n">
        <f aca="false">ROUND(0.75*I41+0.25*K41,2)</f>
        <v>4</v>
      </c>
      <c r="N41" s="4" t="n">
        <f aca="false">ROUND(0.7*J41+0.3*K41,2)</f>
        <v>6.1</v>
      </c>
      <c r="O41" s="4" t="n">
        <f aca="false">ROUND((H41+J41+K41)/3,2)</f>
        <v>5.33</v>
      </c>
      <c r="P41" s="4" t="n">
        <f aca="false">ROUND(0.85*H41+0.15*J41,2)</f>
        <v>5.3</v>
      </c>
      <c r="Q41" s="4" t="n">
        <f aca="false">ROUND(0.6*J41+0.3*I41+0.1*H41,2)</f>
        <v>5.9</v>
      </c>
      <c r="R41" s="4" t="n">
        <f aca="false">ROUND(0.7*I41+0.2*J41+0.1*K41,2)</f>
        <v>4.6</v>
      </c>
      <c r="S41" s="4" t="n">
        <f aca="false">ROUND(0.13*I41+0.35*J41+0.52*K41,2)</f>
        <v>5.05</v>
      </c>
      <c r="T41" s="4" t="n">
        <f aca="false">ROUND(0.4*I41+0.5*J41+0.1*K41,2)</f>
        <v>5.5</v>
      </c>
      <c r="U41" s="4" t="n">
        <f aca="false">ROUND(0.1*I41+0.55*J41+0.35*K41,2)</f>
        <v>5.65</v>
      </c>
      <c r="V41" s="4" t="n">
        <f aca="false">ROUND(0.6*I41+0.1*J41+0.3*K41,2)</f>
        <v>4.3</v>
      </c>
      <c r="W41" s="4" t="n">
        <f aca="false">ROUND(0.15*I41+0.3*J41+0.55*K41,2)</f>
        <v>4.9</v>
      </c>
      <c r="X41" s="4" t="n">
        <f aca="false">ROUND(0.46*I41+0.46*J41+0.08*K41,2)</f>
        <v>5.38</v>
      </c>
      <c r="Y41" s="4" t="str">
        <f aca="false">IF(H41=MAX(H41:K41),"Pitcher (arm-first)",IF(I41=MAX(H41:K41),"Bat-first (corner/1B/DH)",IF(J41=MAX(H41:K41),"Defense-first (up-the-middle)","Speed-first (CF/leadoff)")))</f>
        <v>Defense-first (up-the-middle)</v>
      </c>
      <c r="Z41" s="5" t="n">
        <f aca="false">P41</f>
        <v>5.3</v>
      </c>
      <c r="AA41" s="5" t="n">
        <f aca="false">IF(F41="Right",Q41,-1)</f>
        <v>5.9</v>
      </c>
      <c r="AB41" s="5" t="n">
        <f aca="false">R41</f>
        <v>4.6</v>
      </c>
      <c r="AC41" s="5" t="n">
        <f aca="false">IF(F41="Right",S41,-1)</f>
        <v>5.05</v>
      </c>
      <c r="AD41" s="5" t="n">
        <f aca="false">IF(F41="Right",T41,-1)</f>
        <v>5.5</v>
      </c>
      <c r="AE41" s="5" t="n">
        <f aca="false">IF(F41="Right",U41,-1)</f>
        <v>5.65</v>
      </c>
      <c r="AF41" s="5" t="n">
        <f aca="false">V41</f>
        <v>4.3</v>
      </c>
      <c r="AG41" s="5" t="n">
        <f aca="false">W41</f>
        <v>4.9</v>
      </c>
      <c r="AH41" s="5" t="n">
        <f aca="false">X41</f>
        <v>5.38</v>
      </c>
      <c r="AI41" s="4" t="str">
        <f aca="false">INDEX($Z$1:$AH$1,MATCH(MAX(Z41:AH41),Z41:AH41,0))</f>
        <v>C</v>
      </c>
      <c r="AJ41" s="4" t="n">
        <f aca="false">MAX(Z41:AH41)</f>
        <v>5.9</v>
      </c>
      <c r="AK41" s="4" t="n">
        <f aca="false">SUMPRODUCT(($AI$2:$AI$73=AI41)*($AJ$2:$AJ$73&gt;AJ41))+SUMPRODUCT(($AI$2:$AI$73=AI41)*($AJ$2:$AJ$73=AJ41)*(ROW($AI$2:$AI$73)&lt;ROW(AI41)))+1</f>
        <v>8</v>
      </c>
      <c r="AL41" s="6" t="n">
        <f aca="false">SQRT((H41-'MLB Archetypes'!$C$2)^2+(I41-'MLB Archetypes'!$D$2)^2+(J41-'MLB Archetypes'!$E$2)^2+(K41-'MLB Archetypes'!$F$2)^2)</f>
        <v>5.8309518948453</v>
      </c>
      <c r="AM41" s="6" t="n">
        <f aca="false">SQRT((H41-'MLB Archetypes'!$C$3)^2+(I41-'MLB Archetypes'!$D$3)^2+(J41-'MLB Archetypes'!$E$3)^2+(K41-'MLB Archetypes'!$F$3)^2)</f>
        <v>4.35889894354067</v>
      </c>
      <c r="AN41" s="6" t="n">
        <f aca="false">SQRT((H41-'MLB Archetypes'!$C$4)^2+(I41-'MLB Archetypes'!$D$4)^2+(J41-'MLB Archetypes'!$E$4)^2+(K41-'MLB Archetypes'!$F$4)^2)</f>
        <v>4.79583152331272</v>
      </c>
      <c r="AO41" s="6" t="n">
        <f aca="false">SQRT((H41-'MLB Archetypes'!$C$5)^2+(I41-'MLB Archetypes'!$D$5)^2+(J41-'MLB Archetypes'!$E$5)^2+(K41-'MLB Archetypes'!$F$5)^2)</f>
        <v>3.74165738677394</v>
      </c>
      <c r="AP41" s="6" t="n">
        <f aca="false">SQRT((H41-'MLB Archetypes'!$C$6)^2+(I41-'MLB Archetypes'!$D$6)^2+(J41-'MLB Archetypes'!$E$6)^2+(K41-'MLB Archetypes'!$F$6)^2)</f>
        <v>6</v>
      </c>
      <c r="AQ41" s="6" t="n">
        <f aca="false">SQRT((H41-'MLB Archetypes'!$C$7)^2+(I41-'MLB Archetypes'!$D$7)^2+(J41-'MLB Archetypes'!$E$7)^2+(K41-'MLB Archetypes'!$F$7)^2)</f>
        <v>4.12310562561766</v>
      </c>
      <c r="AR41" s="6" t="n">
        <f aca="false">SQRT((H41-'MLB Archetypes'!$C$8)^2+(I41-'MLB Archetypes'!$D$8)^2+(J41-'MLB Archetypes'!$E$8)^2+(K41-'MLB Archetypes'!$F$8)^2)</f>
        <v>5.3851648071345</v>
      </c>
      <c r="AS41" s="6" t="n">
        <f aca="false">SQRT((H41-'MLB Archetypes'!$C$9)^2+(I41-'MLB Archetypes'!$D$9)^2+(J41-'MLB Archetypes'!$E$9)^2+(K41-'MLB Archetypes'!$F$9)^2)</f>
        <v>4.79583152331272</v>
      </c>
      <c r="AT41" s="6" t="n">
        <f aca="false">SQRT((H41-'MLB Archetypes'!$C$10)^2+(I41-'MLB Archetypes'!$D$10)^2+(J41-'MLB Archetypes'!$E$10)^2+(K41-'MLB Archetypes'!$F$10)^2)</f>
        <v>5.09901951359278</v>
      </c>
      <c r="AU41" s="6" t="n">
        <f aca="false">SQRT((H41-'MLB Archetypes'!$C$11)^2+(I41-'MLB Archetypes'!$D$11)^2+(J41-'MLB Archetypes'!$E$11)^2+(K41-'MLB Archetypes'!$F$11)^2)</f>
        <v>5.91607978309962</v>
      </c>
      <c r="AV41" s="6" t="n">
        <f aca="false">SQRT((H41-'MLB Archetypes'!$C$12)^2+(I41-'MLB Archetypes'!$D$12)^2+(J41-'MLB Archetypes'!$E$12)^2+(K41-'MLB Archetypes'!$F$12)^2)</f>
        <v>5.29150262212918</v>
      </c>
      <c r="AW41" s="6" t="n">
        <f aca="false">SQRT((H41-'MLB Archetypes'!$C$13)^2+(I41-'MLB Archetypes'!$D$13)^2+(J41-'MLB Archetypes'!$E$13)^2+(K41-'MLB Archetypes'!$F$13)^2)</f>
        <v>4.35889894354067</v>
      </c>
      <c r="AX41" s="6" t="n">
        <f aca="false">SQRT((H41-'MLB Archetypes'!$C$14)^2+(I41-'MLB Archetypes'!$D$14)^2+(J41-'MLB Archetypes'!$E$14)^2+(K41-'MLB Archetypes'!$F$14)^2)</f>
        <v>6</v>
      </c>
      <c r="AY41" s="6" t="n">
        <f aca="false">SQRT((H41-'MLB Archetypes'!$C$15)^2+(I41-'MLB Archetypes'!$D$15)^2+(J41-'MLB Archetypes'!$E$15)^2+(K41-'MLB Archetypes'!$F$15)^2)</f>
        <v>7.28010988928052</v>
      </c>
      <c r="AZ41" s="6" t="n">
        <f aca="false">SQRT((H41-'MLB Archetypes'!$C$16)^2+(I41-'MLB Archetypes'!$D$16)^2+(J41-'MLB Archetypes'!$E$16)^2+(K41-'MLB Archetypes'!$F$16)^2)</f>
        <v>6.70820393249937</v>
      </c>
      <c r="BA41" s="6" t="n">
        <f aca="false">SQRT((H41-'MLB Archetypes'!$C$17)^2+(I41-'MLB Archetypes'!$D$17)^2+(J41-'MLB Archetypes'!$E$17)^2+(K41-'MLB Archetypes'!$F$17)^2)</f>
        <v>6.557438524302</v>
      </c>
      <c r="BB41" s="6" t="n">
        <f aca="false">SQRT((H41-'MLB Archetypes'!$C$18)^2+(I41-'MLB Archetypes'!$D$18)^2+(J41-'MLB Archetypes'!$E$18)^2+(K41-'MLB Archetypes'!$F$18)^2)</f>
        <v>6</v>
      </c>
      <c r="BC41" s="6" t="n">
        <f aca="false">SQRT((H41-'MLB Archetypes'!$C$19)^2+(I41-'MLB Archetypes'!$D$19)^2+(J41-'MLB Archetypes'!$E$19)^2+(K41-'MLB Archetypes'!$F$19)^2)</f>
        <v>4.79583152331272</v>
      </c>
      <c r="BD41" s="4" t="str">
        <f aca="false">INDEX('MLB Archetypes'!$B$2:$B$19,MATCH(MIN(AL41:BC41),AL41:BC41,0))</f>
        <v>Ivan Rodriguez</v>
      </c>
      <c r="BE41" s="7" t="n">
        <f aca="false">ROUND(10-MIN(AL41:BC41)/1.8,1)</f>
        <v>7.9</v>
      </c>
    </row>
    <row r="42" customFormat="false" ht="15" hidden="false" customHeight="false" outlineLevel="0" collapsed="false">
      <c r="A42" s="2" t="s">
        <v>107</v>
      </c>
      <c r="B42" s="2" t="s">
        <v>56</v>
      </c>
      <c r="C42" s="2" t="s">
        <v>105</v>
      </c>
      <c r="D42" s="2" t="s">
        <v>51</v>
      </c>
      <c r="E42" s="2" t="s">
        <v>50</v>
      </c>
      <c r="F42" s="2" t="s">
        <v>52</v>
      </c>
      <c r="G42" s="2" t="s">
        <v>57</v>
      </c>
      <c r="H42" s="3" t="n">
        <v>4</v>
      </c>
      <c r="I42" s="3" t="n">
        <v>4</v>
      </c>
      <c r="J42" s="3" t="n">
        <v>7</v>
      </c>
      <c r="K42" s="3" t="n">
        <v>5</v>
      </c>
      <c r="L42" s="4" t="n">
        <f aca="false">H42+I42+J42+K42</f>
        <v>20</v>
      </c>
      <c r="M42" s="4" t="n">
        <f aca="false">ROUND(0.75*I42+0.25*K42,2)</f>
        <v>4.25</v>
      </c>
      <c r="N42" s="4" t="n">
        <f aca="false">ROUND(0.7*J42+0.3*K42,2)</f>
        <v>6.4</v>
      </c>
      <c r="O42" s="4" t="n">
        <f aca="false">ROUND((H42+J42+K42)/3,2)</f>
        <v>5.33</v>
      </c>
      <c r="P42" s="4" t="n">
        <f aca="false">ROUND(0.85*H42+0.15*J42,2)</f>
        <v>4.45</v>
      </c>
      <c r="Q42" s="4" t="n">
        <f aca="false">ROUND(0.6*J42+0.3*I42+0.1*H42,2)</f>
        <v>5.8</v>
      </c>
      <c r="R42" s="4" t="n">
        <f aca="false">ROUND(0.7*I42+0.2*J42+0.1*K42,2)</f>
        <v>4.7</v>
      </c>
      <c r="S42" s="4" t="n">
        <f aca="false">ROUND(0.13*I42+0.35*J42+0.52*K42,2)</f>
        <v>5.57</v>
      </c>
      <c r="T42" s="4" t="n">
        <f aca="false">ROUND(0.4*I42+0.5*J42+0.1*K42,2)</f>
        <v>5.6</v>
      </c>
      <c r="U42" s="4" t="n">
        <f aca="false">ROUND(0.1*I42+0.55*J42+0.35*K42,2)</f>
        <v>6</v>
      </c>
      <c r="V42" s="4" t="n">
        <f aca="false">ROUND(0.6*I42+0.1*J42+0.3*K42,2)</f>
        <v>4.6</v>
      </c>
      <c r="W42" s="4" t="n">
        <f aca="false">ROUND(0.15*I42+0.3*J42+0.55*K42,2)</f>
        <v>5.45</v>
      </c>
      <c r="X42" s="4" t="n">
        <f aca="false">ROUND(0.46*I42+0.46*J42+0.08*K42,2)</f>
        <v>5.46</v>
      </c>
      <c r="Y42" s="4" t="str">
        <f aca="false">IF(H42=MAX(H42:K42),"Pitcher (arm-first)",IF(I42=MAX(H42:K42),"Bat-first (corner/1B/DH)",IF(J42=MAX(H42:K42),"Defense-first (up-the-middle)","Speed-first (CF/leadoff)")))</f>
        <v>Defense-first (up-the-middle)</v>
      </c>
      <c r="Z42" s="5" t="n">
        <f aca="false">P42</f>
        <v>4.45</v>
      </c>
      <c r="AA42" s="5" t="n">
        <f aca="false">IF(F42="Right",Q42,-1)</f>
        <v>5.8</v>
      </c>
      <c r="AB42" s="5" t="n">
        <f aca="false">R42</f>
        <v>4.7</v>
      </c>
      <c r="AC42" s="5" t="n">
        <f aca="false">IF(F42="Right",S42,-1)</f>
        <v>5.57</v>
      </c>
      <c r="AD42" s="5" t="n">
        <f aca="false">IF(F42="Right",T42,-1)</f>
        <v>5.6</v>
      </c>
      <c r="AE42" s="5" t="n">
        <f aca="false">IF(F42="Right",U42,-1)</f>
        <v>6</v>
      </c>
      <c r="AF42" s="5" t="n">
        <f aca="false">V42</f>
        <v>4.6</v>
      </c>
      <c r="AG42" s="5" t="n">
        <f aca="false">W42</f>
        <v>5.45</v>
      </c>
      <c r="AH42" s="5" t="n">
        <f aca="false">X42</f>
        <v>5.46</v>
      </c>
      <c r="AI42" s="4" t="str">
        <f aca="false">INDEX($Z$1:$AH$1,MATCH(MAX(Z42:AH42),Z42:AH42,0))</f>
        <v>SS</v>
      </c>
      <c r="AJ42" s="4" t="n">
        <f aca="false">MAX(Z42:AH42)</f>
        <v>6</v>
      </c>
      <c r="AK42" s="4" t="n">
        <f aca="false">SUMPRODUCT(($AI$2:$AI$73=AI42)*($AJ$2:$AJ$73&gt;AJ42))+SUMPRODUCT(($AI$2:$AI$73=AI42)*($AJ$2:$AJ$73=AJ42)*(ROW($AI$2:$AI$73)&lt;ROW(AI42)))+1</f>
        <v>6</v>
      </c>
      <c r="AL42" s="6" t="n">
        <f aca="false">SQRT((H42-'MLB Archetypes'!$C$2)^2+(I42-'MLB Archetypes'!$D$2)^2+(J42-'MLB Archetypes'!$E$2)^2+(K42-'MLB Archetypes'!$F$2)^2)</f>
        <v>6.92820323027551</v>
      </c>
      <c r="AM42" s="6" t="n">
        <f aca="false">SQRT((H42-'MLB Archetypes'!$C$3)^2+(I42-'MLB Archetypes'!$D$3)^2+(J42-'MLB Archetypes'!$E$3)^2+(K42-'MLB Archetypes'!$F$3)^2)</f>
        <v>5.56776436283002</v>
      </c>
      <c r="AN42" s="6" t="n">
        <f aca="false">SQRT((H42-'MLB Archetypes'!$C$4)^2+(I42-'MLB Archetypes'!$D$4)^2+(J42-'MLB Archetypes'!$E$4)^2+(K42-'MLB Archetypes'!$F$4)^2)</f>
        <v>4.58257569495584</v>
      </c>
      <c r="AO42" s="6" t="n">
        <f aca="false">SQRT((H42-'MLB Archetypes'!$C$5)^2+(I42-'MLB Archetypes'!$D$5)^2+(J42-'MLB Archetypes'!$E$5)^2+(K42-'MLB Archetypes'!$F$5)^2)</f>
        <v>3.16227766016838</v>
      </c>
      <c r="AP42" s="6" t="n">
        <f aca="false">SQRT((H42-'MLB Archetypes'!$C$6)^2+(I42-'MLB Archetypes'!$D$6)^2+(J42-'MLB Archetypes'!$E$6)^2+(K42-'MLB Archetypes'!$F$6)^2)</f>
        <v>5.8309518948453</v>
      </c>
      <c r="AQ42" s="6" t="n">
        <f aca="false">SQRT((H42-'MLB Archetypes'!$C$7)^2+(I42-'MLB Archetypes'!$D$7)^2+(J42-'MLB Archetypes'!$E$7)^2+(K42-'MLB Archetypes'!$F$7)^2)</f>
        <v>3.60555127546399</v>
      </c>
      <c r="AR42" s="6" t="n">
        <f aca="false">SQRT((H42-'MLB Archetypes'!$C$8)^2+(I42-'MLB Archetypes'!$D$8)^2+(J42-'MLB Archetypes'!$E$8)^2+(K42-'MLB Archetypes'!$F$8)^2)</f>
        <v>4.12310562561766</v>
      </c>
      <c r="AS42" s="6" t="n">
        <f aca="false">SQRT((H42-'MLB Archetypes'!$C$9)^2+(I42-'MLB Archetypes'!$D$9)^2+(J42-'MLB Archetypes'!$E$9)^2+(K42-'MLB Archetypes'!$F$9)^2)</f>
        <v>3.87298334620742</v>
      </c>
      <c r="AT42" s="6" t="n">
        <f aca="false">SQRT((H42-'MLB Archetypes'!$C$10)^2+(I42-'MLB Archetypes'!$D$10)^2+(J42-'MLB Archetypes'!$E$10)^2+(K42-'MLB Archetypes'!$F$10)^2)</f>
        <v>4.69041575982343</v>
      </c>
      <c r="AU42" s="6" t="n">
        <f aca="false">SQRT((H42-'MLB Archetypes'!$C$11)^2+(I42-'MLB Archetypes'!$D$11)^2+(J42-'MLB Archetypes'!$E$11)^2+(K42-'MLB Archetypes'!$F$11)^2)</f>
        <v>5.56776436283002</v>
      </c>
      <c r="AV42" s="6" t="n">
        <f aca="false">SQRT((H42-'MLB Archetypes'!$C$12)^2+(I42-'MLB Archetypes'!$D$12)^2+(J42-'MLB Archetypes'!$E$12)^2+(K42-'MLB Archetypes'!$F$12)^2)</f>
        <v>4.24264068711929</v>
      </c>
      <c r="AW42" s="6" t="n">
        <f aca="false">SQRT((H42-'MLB Archetypes'!$C$13)^2+(I42-'MLB Archetypes'!$D$13)^2+(J42-'MLB Archetypes'!$E$13)^2+(K42-'MLB Archetypes'!$F$13)^2)</f>
        <v>4.12310562561766</v>
      </c>
      <c r="AX42" s="6" t="n">
        <f aca="false">SQRT((H42-'MLB Archetypes'!$C$14)^2+(I42-'MLB Archetypes'!$D$14)^2+(J42-'MLB Archetypes'!$E$14)^2+(K42-'MLB Archetypes'!$F$14)^2)</f>
        <v>5.47722557505166</v>
      </c>
      <c r="AY42" s="6" t="n">
        <f aca="false">SQRT((H42-'MLB Archetypes'!$C$15)^2+(I42-'MLB Archetypes'!$D$15)^2+(J42-'MLB Archetypes'!$E$15)^2+(K42-'MLB Archetypes'!$F$15)^2)</f>
        <v>6.08276253029822</v>
      </c>
      <c r="AZ42" s="6" t="n">
        <f aca="false">SQRT((H42-'MLB Archetypes'!$C$16)^2+(I42-'MLB Archetypes'!$D$16)^2+(J42-'MLB Archetypes'!$E$16)^2+(K42-'MLB Archetypes'!$F$16)^2)</f>
        <v>5.74456264653803</v>
      </c>
      <c r="BA42" s="6" t="n">
        <f aca="false">SQRT((H42-'MLB Archetypes'!$C$17)^2+(I42-'MLB Archetypes'!$D$17)^2+(J42-'MLB Archetypes'!$E$17)^2+(K42-'MLB Archetypes'!$F$17)^2)</f>
        <v>5.3851648071345</v>
      </c>
      <c r="BB42" s="6" t="n">
        <f aca="false">SQRT((H42-'MLB Archetypes'!$C$18)^2+(I42-'MLB Archetypes'!$D$18)^2+(J42-'MLB Archetypes'!$E$18)^2+(K42-'MLB Archetypes'!$F$18)^2)</f>
        <v>5.47722557505166</v>
      </c>
      <c r="BC42" s="6" t="n">
        <f aca="false">SQRT((H42-'MLB Archetypes'!$C$19)^2+(I42-'MLB Archetypes'!$D$19)^2+(J42-'MLB Archetypes'!$E$19)^2+(K42-'MLB Archetypes'!$F$19)^2)</f>
        <v>3.87298334620742</v>
      </c>
      <c r="BD42" s="4" t="str">
        <f aca="false">INDEX('MLB Archetypes'!$B$2:$B$19,MATCH(MIN(AL42:BC42),AL42:BC42,0))</f>
        <v>Ivan Rodriguez</v>
      </c>
      <c r="BE42" s="7" t="n">
        <f aca="false">ROUND(10-MIN(AL42:BC42)/1.8,1)</f>
        <v>8.2</v>
      </c>
    </row>
    <row r="43" customFormat="false" ht="15" hidden="false" customHeight="false" outlineLevel="0" collapsed="false">
      <c r="A43" s="2" t="s">
        <v>108</v>
      </c>
      <c r="B43" s="2" t="s">
        <v>56</v>
      </c>
      <c r="C43" s="2" t="s">
        <v>105</v>
      </c>
      <c r="D43" s="2" t="s">
        <v>51</v>
      </c>
      <c r="E43" s="2" t="s">
        <v>50</v>
      </c>
      <c r="F43" s="2" t="s">
        <v>52</v>
      </c>
      <c r="G43" s="2" t="s">
        <v>57</v>
      </c>
      <c r="H43" s="3" t="n">
        <v>3</v>
      </c>
      <c r="I43" s="3" t="n">
        <v>5</v>
      </c>
      <c r="J43" s="3" t="n">
        <v>7</v>
      </c>
      <c r="K43" s="3" t="n">
        <v>5</v>
      </c>
      <c r="L43" s="4" t="n">
        <f aca="false">H43+I43+J43+K43</f>
        <v>20</v>
      </c>
      <c r="M43" s="4" t="n">
        <f aca="false">ROUND(0.75*I43+0.25*K43,2)</f>
        <v>5</v>
      </c>
      <c r="N43" s="4" t="n">
        <f aca="false">ROUND(0.7*J43+0.3*K43,2)</f>
        <v>6.4</v>
      </c>
      <c r="O43" s="4" t="n">
        <f aca="false">ROUND((H43+J43+K43)/3,2)</f>
        <v>5</v>
      </c>
      <c r="P43" s="4" t="n">
        <f aca="false">ROUND(0.85*H43+0.15*J43,2)</f>
        <v>3.6</v>
      </c>
      <c r="Q43" s="4" t="n">
        <f aca="false">ROUND(0.6*J43+0.3*I43+0.1*H43,2)</f>
        <v>6</v>
      </c>
      <c r="R43" s="4" t="n">
        <f aca="false">ROUND(0.7*I43+0.2*J43+0.1*K43,2)</f>
        <v>5.4</v>
      </c>
      <c r="S43" s="4" t="n">
        <f aca="false">ROUND(0.13*I43+0.35*J43+0.52*K43,2)</f>
        <v>5.7</v>
      </c>
      <c r="T43" s="4" t="n">
        <f aca="false">ROUND(0.4*I43+0.5*J43+0.1*K43,2)</f>
        <v>6</v>
      </c>
      <c r="U43" s="4" t="n">
        <f aca="false">ROUND(0.1*I43+0.55*J43+0.35*K43,2)</f>
        <v>6.1</v>
      </c>
      <c r="V43" s="4" t="n">
        <f aca="false">ROUND(0.6*I43+0.1*J43+0.3*K43,2)</f>
        <v>5.2</v>
      </c>
      <c r="W43" s="4" t="n">
        <f aca="false">ROUND(0.15*I43+0.3*J43+0.55*K43,2)</f>
        <v>5.6</v>
      </c>
      <c r="X43" s="4" t="n">
        <f aca="false">ROUND(0.46*I43+0.46*J43+0.08*K43,2)</f>
        <v>5.92</v>
      </c>
      <c r="Y43" s="4" t="str">
        <f aca="false">IF(H43=MAX(H43:K43),"Pitcher (arm-first)",IF(I43=MAX(H43:K43),"Bat-first (corner/1B/DH)",IF(J43=MAX(H43:K43),"Defense-first (up-the-middle)","Speed-first (CF/leadoff)")))</f>
        <v>Defense-first (up-the-middle)</v>
      </c>
      <c r="Z43" s="5" t="n">
        <f aca="false">P43</f>
        <v>3.6</v>
      </c>
      <c r="AA43" s="5" t="n">
        <f aca="false">IF(F43="Right",Q43,-1)</f>
        <v>6</v>
      </c>
      <c r="AB43" s="5" t="n">
        <f aca="false">R43</f>
        <v>5.4</v>
      </c>
      <c r="AC43" s="5" t="n">
        <f aca="false">IF(F43="Right",S43,-1)</f>
        <v>5.7</v>
      </c>
      <c r="AD43" s="5" t="n">
        <f aca="false">IF(F43="Right",T43,-1)</f>
        <v>6</v>
      </c>
      <c r="AE43" s="5" t="n">
        <f aca="false">IF(F43="Right",U43,-1)</f>
        <v>6.1</v>
      </c>
      <c r="AF43" s="5" t="n">
        <f aca="false">V43</f>
        <v>5.2</v>
      </c>
      <c r="AG43" s="5" t="n">
        <f aca="false">W43</f>
        <v>5.6</v>
      </c>
      <c r="AH43" s="5" t="n">
        <f aca="false">X43</f>
        <v>5.92</v>
      </c>
      <c r="AI43" s="4" t="str">
        <f aca="false">INDEX($Z$1:$AH$1,MATCH(MAX(Z43:AH43),Z43:AH43,0))</f>
        <v>SS</v>
      </c>
      <c r="AJ43" s="4" t="n">
        <f aca="false">MAX(Z43:AH43)</f>
        <v>6.1</v>
      </c>
      <c r="AK43" s="4" t="n">
        <f aca="false">SUMPRODUCT(($AI$2:$AI$73=AI43)*($AJ$2:$AJ$73&gt;AJ43))+SUMPRODUCT(($AI$2:$AI$73=AI43)*($AJ$2:$AJ$73=AJ43)*(ROW($AI$2:$AI$73)&lt;ROW(AI43)))+1</f>
        <v>4</v>
      </c>
      <c r="AL43" s="6" t="n">
        <f aca="false">SQRT((H43-'MLB Archetypes'!$C$2)^2+(I43-'MLB Archetypes'!$D$2)^2+(J43-'MLB Archetypes'!$E$2)^2+(K43-'MLB Archetypes'!$F$2)^2)</f>
        <v>8.12403840463596</v>
      </c>
      <c r="AM43" s="6" t="n">
        <f aca="false">SQRT((H43-'MLB Archetypes'!$C$3)^2+(I43-'MLB Archetypes'!$D$3)^2+(J43-'MLB Archetypes'!$E$3)^2+(K43-'MLB Archetypes'!$F$3)^2)</f>
        <v>6.70820393249937</v>
      </c>
      <c r="AN43" s="6" t="n">
        <f aca="false">SQRT((H43-'MLB Archetypes'!$C$4)^2+(I43-'MLB Archetypes'!$D$4)^2+(J43-'MLB Archetypes'!$E$4)^2+(K43-'MLB Archetypes'!$F$4)^2)</f>
        <v>3.60555127546399</v>
      </c>
      <c r="AO43" s="6" t="n">
        <f aca="false">SQRT((H43-'MLB Archetypes'!$C$5)^2+(I43-'MLB Archetypes'!$D$5)^2+(J43-'MLB Archetypes'!$E$5)^2+(K43-'MLB Archetypes'!$F$5)^2)</f>
        <v>2</v>
      </c>
      <c r="AP43" s="6" t="n">
        <f aca="false">SQRT((H43-'MLB Archetypes'!$C$6)^2+(I43-'MLB Archetypes'!$D$6)^2+(J43-'MLB Archetypes'!$E$6)^2+(K43-'MLB Archetypes'!$F$6)^2)</f>
        <v>4.69041575982343</v>
      </c>
      <c r="AQ43" s="6" t="n">
        <f aca="false">SQRT((H43-'MLB Archetypes'!$C$7)^2+(I43-'MLB Archetypes'!$D$7)^2+(J43-'MLB Archetypes'!$E$7)^2+(K43-'MLB Archetypes'!$F$7)^2)</f>
        <v>2.64575131106459</v>
      </c>
      <c r="AR43" s="6" t="n">
        <f aca="false">SQRT((H43-'MLB Archetypes'!$C$8)^2+(I43-'MLB Archetypes'!$D$8)^2+(J43-'MLB Archetypes'!$E$8)^2+(K43-'MLB Archetypes'!$F$8)^2)</f>
        <v>3.3166247903554</v>
      </c>
      <c r="AS43" s="6" t="n">
        <f aca="false">SQRT((H43-'MLB Archetypes'!$C$9)^2+(I43-'MLB Archetypes'!$D$9)^2+(J43-'MLB Archetypes'!$E$9)^2+(K43-'MLB Archetypes'!$F$9)^2)</f>
        <v>2.64575131106459</v>
      </c>
      <c r="AT43" s="6" t="n">
        <f aca="false">SQRT((H43-'MLB Archetypes'!$C$10)^2+(I43-'MLB Archetypes'!$D$10)^2+(J43-'MLB Archetypes'!$E$10)^2+(K43-'MLB Archetypes'!$F$10)^2)</f>
        <v>3.46410161513775</v>
      </c>
      <c r="AU43" s="6" t="n">
        <f aca="false">SQRT((H43-'MLB Archetypes'!$C$11)^2+(I43-'MLB Archetypes'!$D$11)^2+(J43-'MLB Archetypes'!$E$11)^2+(K43-'MLB Archetypes'!$F$11)^2)</f>
        <v>4.35889894354067</v>
      </c>
      <c r="AV43" s="6" t="n">
        <f aca="false">SQRT((H43-'MLB Archetypes'!$C$12)^2+(I43-'MLB Archetypes'!$D$12)^2+(J43-'MLB Archetypes'!$E$12)^2+(K43-'MLB Archetypes'!$F$12)^2)</f>
        <v>4.24264068711929</v>
      </c>
      <c r="AW43" s="6" t="n">
        <f aca="false">SQRT((H43-'MLB Archetypes'!$C$13)^2+(I43-'MLB Archetypes'!$D$13)^2+(J43-'MLB Archetypes'!$E$13)^2+(K43-'MLB Archetypes'!$F$13)^2)</f>
        <v>3</v>
      </c>
      <c r="AX43" s="6" t="n">
        <f aca="false">SQRT((H43-'MLB Archetypes'!$C$14)^2+(I43-'MLB Archetypes'!$D$14)^2+(J43-'MLB Archetypes'!$E$14)^2+(K43-'MLB Archetypes'!$F$14)^2)</f>
        <v>4.24264068711929</v>
      </c>
      <c r="AY43" s="6" t="n">
        <f aca="false">SQRT((H43-'MLB Archetypes'!$C$15)^2+(I43-'MLB Archetypes'!$D$15)^2+(J43-'MLB Archetypes'!$E$15)^2+(K43-'MLB Archetypes'!$F$15)^2)</f>
        <v>5.56776436283002</v>
      </c>
      <c r="AZ43" s="6" t="n">
        <f aca="false">SQRT((H43-'MLB Archetypes'!$C$16)^2+(I43-'MLB Archetypes'!$D$16)^2+(J43-'MLB Archetypes'!$E$16)^2+(K43-'MLB Archetypes'!$F$16)^2)</f>
        <v>4.79583152331272</v>
      </c>
      <c r="BA43" s="6" t="n">
        <f aca="false">SQRT((H43-'MLB Archetypes'!$C$17)^2+(I43-'MLB Archetypes'!$D$17)^2+(J43-'MLB Archetypes'!$E$17)^2+(K43-'MLB Archetypes'!$F$17)^2)</f>
        <v>4.58257569495584</v>
      </c>
      <c r="BB43" s="6" t="n">
        <f aca="false">SQRT((H43-'MLB Archetypes'!$C$18)^2+(I43-'MLB Archetypes'!$D$18)^2+(J43-'MLB Archetypes'!$E$18)^2+(K43-'MLB Archetypes'!$F$18)^2)</f>
        <v>4.24264068711929</v>
      </c>
      <c r="BC43" s="6" t="n">
        <f aca="false">SQRT((H43-'MLB Archetypes'!$C$19)^2+(I43-'MLB Archetypes'!$D$19)^2+(J43-'MLB Archetypes'!$E$19)^2+(K43-'MLB Archetypes'!$F$19)^2)</f>
        <v>2.64575131106459</v>
      </c>
      <c r="BD43" s="4" t="str">
        <f aca="false">INDEX('MLB Archetypes'!$B$2:$B$19,MATCH(MIN(AL43:BC43),AL43:BC43,0))</f>
        <v>Ivan Rodriguez</v>
      </c>
      <c r="BE43" s="7" t="n">
        <f aca="false">ROUND(10-MIN(AL43:BC43)/1.8,1)</f>
        <v>8.9</v>
      </c>
    </row>
    <row r="44" customFormat="false" ht="15" hidden="false" customHeight="false" outlineLevel="0" collapsed="false">
      <c r="A44" s="2" t="s">
        <v>109</v>
      </c>
      <c r="B44" s="2" t="s">
        <v>56</v>
      </c>
      <c r="C44" s="2" t="s">
        <v>105</v>
      </c>
      <c r="D44" s="2" t="s">
        <v>51</v>
      </c>
      <c r="E44" s="2" t="s">
        <v>50</v>
      </c>
      <c r="F44" s="2" t="s">
        <v>52</v>
      </c>
      <c r="G44" s="2" t="s">
        <v>57</v>
      </c>
      <c r="H44" s="3" t="n">
        <v>4</v>
      </c>
      <c r="I44" s="3" t="n">
        <v>4</v>
      </c>
      <c r="J44" s="3" t="n">
        <v>8</v>
      </c>
      <c r="K44" s="3" t="n">
        <v>4</v>
      </c>
      <c r="L44" s="4" t="n">
        <f aca="false">H44+I44+J44+K44</f>
        <v>20</v>
      </c>
      <c r="M44" s="4" t="n">
        <f aca="false">ROUND(0.75*I44+0.25*K44,2)</f>
        <v>4</v>
      </c>
      <c r="N44" s="4" t="n">
        <f aca="false">ROUND(0.7*J44+0.3*K44,2)</f>
        <v>6.8</v>
      </c>
      <c r="O44" s="4" t="n">
        <f aca="false">ROUND((H44+J44+K44)/3,2)</f>
        <v>5.33</v>
      </c>
      <c r="P44" s="4" t="n">
        <f aca="false">ROUND(0.85*H44+0.15*J44,2)</f>
        <v>4.6</v>
      </c>
      <c r="Q44" s="4" t="n">
        <f aca="false">ROUND(0.6*J44+0.3*I44+0.1*H44,2)</f>
        <v>6.4</v>
      </c>
      <c r="R44" s="4" t="n">
        <f aca="false">ROUND(0.7*I44+0.2*J44+0.1*K44,2)</f>
        <v>4.8</v>
      </c>
      <c r="S44" s="4" t="n">
        <f aca="false">ROUND(0.13*I44+0.35*J44+0.52*K44,2)</f>
        <v>5.4</v>
      </c>
      <c r="T44" s="4" t="n">
        <f aca="false">ROUND(0.4*I44+0.5*J44+0.1*K44,2)</f>
        <v>6</v>
      </c>
      <c r="U44" s="4" t="n">
        <f aca="false">ROUND(0.1*I44+0.55*J44+0.35*K44,2)</f>
        <v>6.2</v>
      </c>
      <c r="V44" s="4" t="n">
        <f aca="false">ROUND(0.6*I44+0.1*J44+0.3*K44,2)</f>
        <v>4.4</v>
      </c>
      <c r="W44" s="4" t="n">
        <f aca="false">ROUND(0.15*I44+0.3*J44+0.55*K44,2)</f>
        <v>5.2</v>
      </c>
      <c r="X44" s="4" t="n">
        <f aca="false">ROUND(0.46*I44+0.46*J44+0.08*K44,2)</f>
        <v>5.84</v>
      </c>
      <c r="Y44" s="4" t="str">
        <f aca="false">IF(H44=MAX(H44:K44),"Pitcher (arm-first)",IF(I44=MAX(H44:K44),"Bat-first (corner/1B/DH)",IF(J44=MAX(H44:K44),"Defense-first (up-the-middle)","Speed-first (CF/leadoff)")))</f>
        <v>Defense-first (up-the-middle)</v>
      </c>
      <c r="Z44" s="5" t="n">
        <f aca="false">P44</f>
        <v>4.6</v>
      </c>
      <c r="AA44" s="5" t="n">
        <f aca="false">IF(F44="Right",Q44,-1)</f>
        <v>6.4</v>
      </c>
      <c r="AB44" s="5" t="n">
        <f aca="false">R44</f>
        <v>4.8</v>
      </c>
      <c r="AC44" s="5" t="n">
        <f aca="false">IF(F44="Right",S44,-1)</f>
        <v>5.4</v>
      </c>
      <c r="AD44" s="5" t="n">
        <f aca="false">IF(F44="Right",T44,-1)</f>
        <v>6</v>
      </c>
      <c r="AE44" s="5" t="n">
        <f aca="false">IF(F44="Right",U44,-1)</f>
        <v>6.2</v>
      </c>
      <c r="AF44" s="5" t="n">
        <f aca="false">V44</f>
        <v>4.4</v>
      </c>
      <c r="AG44" s="5" t="n">
        <f aca="false">W44</f>
        <v>5.2</v>
      </c>
      <c r="AH44" s="5" t="n">
        <f aca="false">X44</f>
        <v>5.84</v>
      </c>
      <c r="AI44" s="4" t="str">
        <f aca="false">INDEX($Z$1:$AH$1,MATCH(MAX(Z44:AH44),Z44:AH44,0))</f>
        <v>C</v>
      </c>
      <c r="AJ44" s="4" t="n">
        <f aca="false">MAX(Z44:AH44)</f>
        <v>6.4</v>
      </c>
      <c r="AK44" s="4" t="n">
        <f aca="false">SUMPRODUCT(($AI$2:$AI$73=AI44)*($AJ$2:$AJ$73&gt;AJ44))+SUMPRODUCT(($AI$2:$AI$73=AI44)*($AJ$2:$AJ$73=AJ44)*(ROW($AI$2:$AI$73)&lt;ROW(AI44)))+1</f>
        <v>5</v>
      </c>
      <c r="AL44" s="6" t="n">
        <f aca="false">SQRT((H44-'MLB Archetypes'!$C$2)^2+(I44-'MLB Archetypes'!$D$2)^2+(J44-'MLB Archetypes'!$E$2)^2+(K44-'MLB Archetypes'!$F$2)^2)</f>
        <v>7.07106781186548</v>
      </c>
      <c r="AM44" s="6" t="n">
        <f aca="false">SQRT((H44-'MLB Archetypes'!$C$3)^2+(I44-'MLB Archetypes'!$D$3)^2+(J44-'MLB Archetypes'!$E$3)^2+(K44-'MLB Archetypes'!$F$3)^2)</f>
        <v>5.56776436283002</v>
      </c>
      <c r="AN44" s="6" t="n">
        <f aca="false">SQRT((H44-'MLB Archetypes'!$C$4)^2+(I44-'MLB Archetypes'!$D$4)^2+(J44-'MLB Archetypes'!$E$4)^2+(K44-'MLB Archetypes'!$F$4)^2)</f>
        <v>3.87298334620742</v>
      </c>
      <c r="AO44" s="6" t="n">
        <f aca="false">SQRT((H44-'MLB Archetypes'!$C$5)^2+(I44-'MLB Archetypes'!$D$5)^2+(J44-'MLB Archetypes'!$E$5)^2+(K44-'MLB Archetypes'!$F$5)^2)</f>
        <v>2.82842712474619</v>
      </c>
      <c r="AP44" s="6" t="n">
        <f aca="false">SQRT((H44-'MLB Archetypes'!$C$6)^2+(I44-'MLB Archetypes'!$D$6)^2+(J44-'MLB Archetypes'!$E$6)^2+(K44-'MLB Archetypes'!$F$6)^2)</f>
        <v>5.8309518948453</v>
      </c>
      <c r="AQ44" s="6" t="n">
        <f aca="false">SQRT((H44-'MLB Archetypes'!$C$7)^2+(I44-'MLB Archetypes'!$D$7)^2+(J44-'MLB Archetypes'!$E$7)^2+(K44-'MLB Archetypes'!$F$7)^2)</f>
        <v>3</v>
      </c>
      <c r="AR44" s="6" t="n">
        <f aca="false">SQRT((H44-'MLB Archetypes'!$C$8)^2+(I44-'MLB Archetypes'!$D$8)^2+(J44-'MLB Archetypes'!$E$8)^2+(K44-'MLB Archetypes'!$F$8)^2)</f>
        <v>5</v>
      </c>
      <c r="AS44" s="6" t="n">
        <f aca="false">SQRT((H44-'MLB Archetypes'!$C$9)^2+(I44-'MLB Archetypes'!$D$9)^2+(J44-'MLB Archetypes'!$E$9)^2+(K44-'MLB Archetypes'!$F$9)^2)</f>
        <v>4.12310562561766</v>
      </c>
      <c r="AT44" s="6" t="n">
        <f aca="false">SQRT((H44-'MLB Archetypes'!$C$10)^2+(I44-'MLB Archetypes'!$D$10)^2+(J44-'MLB Archetypes'!$E$10)^2+(K44-'MLB Archetypes'!$F$10)^2)</f>
        <v>4.47213595499958</v>
      </c>
      <c r="AU44" s="6" t="n">
        <f aca="false">SQRT((H44-'MLB Archetypes'!$C$11)^2+(I44-'MLB Archetypes'!$D$11)^2+(J44-'MLB Archetypes'!$E$11)^2+(K44-'MLB Archetypes'!$F$11)^2)</f>
        <v>5.74456264653803</v>
      </c>
      <c r="AV44" s="6" t="n">
        <f aca="false">SQRT((H44-'MLB Archetypes'!$C$12)^2+(I44-'MLB Archetypes'!$D$12)^2+(J44-'MLB Archetypes'!$E$12)^2+(K44-'MLB Archetypes'!$F$12)^2)</f>
        <v>4.24264068711929</v>
      </c>
      <c r="AW44" s="6" t="n">
        <f aca="false">SQRT((H44-'MLB Archetypes'!$C$13)^2+(I44-'MLB Archetypes'!$D$13)^2+(J44-'MLB Archetypes'!$E$13)^2+(K44-'MLB Archetypes'!$F$13)^2)</f>
        <v>3.87298334620742</v>
      </c>
      <c r="AX44" s="6" t="n">
        <f aca="false">SQRT((H44-'MLB Archetypes'!$C$14)^2+(I44-'MLB Archetypes'!$D$14)^2+(J44-'MLB Archetypes'!$E$14)^2+(K44-'MLB Archetypes'!$F$14)^2)</f>
        <v>5.8309518948453</v>
      </c>
      <c r="AY44" s="6" t="n">
        <f aca="false">SQRT((H44-'MLB Archetypes'!$C$15)^2+(I44-'MLB Archetypes'!$D$15)^2+(J44-'MLB Archetypes'!$E$15)^2+(K44-'MLB Archetypes'!$F$15)^2)</f>
        <v>7.28010988928052</v>
      </c>
      <c r="AZ44" s="6" t="n">
        <f aca="false">SQRT((H44-'MLB Archetypes'!$C$16)^2+(I44-'MLB Archetypes'!$D$16)^2+(J44-'MLB Archetypes'!$E$16)^2+(K44-'MLB Archetypes'!$F$16)^2)</f>
        <v>6.08276253029822</v>
      </c>
      <c r="BA44" s="6" t="n">
        <f aca="false">SQRT((H44-'MLB Archetypes'!$C$17)^2+(I44-'MLB Archetypes'!$D$17)^2+(J44-'MLB Archetypes'!$E$17)^2+(K44-'MLB Archetypes'!$F$17)^2)</f>
        <v>6.2449979983984</v>
      </c>
      <c r="BB44" s="6" t="n">
        <f aca="false">SQRT((H44-'MLB Archetypes'!$C$18)^2+(I44-'MLB Archetypes'!$D$18)^2+(J44-'MLB Archetypes'!$E$18)^2+(K44-'MLB Archetypes'!$F$18)^2)</f>
        <v>5.8309518948453</v>
      </c>
      <c r="BC44" s="6" t="n">
        <f aca="false">SQRT((H44-'MLB Archetypes'!$C$19)^2+(I44-'MLB Archetypes'!$D$19)^2+(J44-'MLB Archetypes'!$E$19)^2+(K44-'MLB Archetypes'!$F$19)^2)</f>
        <v>4.12310562561766</v>
      </c>
      <c r="BD44" s="4" t="str">
        <f aca="false">INDEX('MLB Archetypes'!$B$2:$B$19,MATCH(MIN(AL44:BC44),AL44:BC44,0))</f>
        <v>Ivan Rodriguez</v>
      </c>
      <c r="BE44" s="7" t="n">
        <f aca="false">ROUND(10-MIN(AL44:BC44)/1.8,1)</f>
        <v>8.4</v>
      </c>
    </row>
    <row r="45" customFormat="false" ht="15" hidden="false" customHeight="false" outlineLevel="0" collapsed="false">
      <c r="A45" s="2" t="s">
        <v>110</v>
      </c>
      <c r="B45" s="2" t="s">
        <v>56</v>
      </c>
      <c r="C45" s="2" t="s">
        <v>110</v>
      </c>
      <c r="D45" s="2" t="s">
        <v>50</v>
      </c>
      <c r="E45" s="2" t="s">
        <v>50</v>
      </c>
      <c r="F45" s="2" t="s">
        <v>52</v>
      </c>
      <c r="G45" s="2" t="s">
        <v>57</v>
      </c>
      <c r="H45" s="3" t="n">
        <v>3</v>
      </c>
      <c r="I45" s="3" t="n">
        <v>7</v>
      </c>
      <c r="J45" s="3" t="n">
        <v>4</v>
      </c>
      <c r="K45" s="3" t="n">
        <v>7</v>
      </c>
      <c r="L45" s="4" t="n">
        <f aca="false">H45+I45+J45+K45</f>
        <v>21</v>
      </c>
      <c r="M45" s="4" t="n">
        <f aca="false">ROUND(0.75*I45+0.25*K45,2)</f>
        <v>7</v>
      </c>
      <c r="N45" s="4" t="n">
        <f aca="false">ROUND(0.7*J45+0.3*K45,2)</f>
        <v>4.9</v>
      </c>
      <c r="O45" s="4" t="n">
        <f aca="false">ROUND((H45+J45+K45)/3,2)</f>
        <v>4.67</v>
      </c>
      <c r="P45" s="4" t="n">
        <f aca="false">ROUND(0.85*H45+0.15*J45,2)</f>
        <v>3.15</v>
      </c>
      <c r="Q45" s="4" t="n">
        <f aca="false">ROUND(0.6*J45+0.3*I45+0.1*H45,2)</f>
        <v>4.8</v>
      </c>
      <c r="R45" s="4" t="n">
        <f aca="false">ROUND(0.7*I45+0.2*J45+0.1*K45,2)</f>
        <v>6.4</v>
      </c>
      <c r="S45" s="4" t="n">
        <f aca="false">ROUND(0.13*I45+0.35*J45+0.52*K45,2)</f>
        <v>5.95</v>
      </c>
      <c r="T45" s="4" t="n">
        <f aca="false">ROUND(0.4*I45+0.5*J45+0.1*K45,2)</f>
        <v>5.5</v>
      </c>
      <c r="U45" s="4" t="n">
        <f aca="false">ROUND(0.1*I45+0.55*J45+0.35*K45,2)</f>
        <v>5.35</v>
      </c>
      <c r="V45" s="4" t="n">
        <f aca="false">ROUND(0.6*I45+0.1*J45+0.3*K45,2)</f>
        <v>6.7</v>
      </c>
      <c r="W45" s="4" t="n">
        <f aca="false">ROUND(0.15*I45+0.3*J45+0.55*K45,2)</f>
        <v>6.1</v>
      </c>
      <c r="X45" s="4" t="n">
        <f aca="false">ROUND(0.46*I45+0.46*J45+0.08*K45,2)</f>
        <v>5.62</v>
      </c>
      <c r="Y45" s="4" t="str">
        <f aca="false">IF(H45=MAX(H45:K45),"Pitcher (arm-first)",IF(I45=MAX(H45:K45),"Bat-first (corner/1B/DH)",IF(J45=MAX(H45:K45),"Defense-first (up-the-middle)","Speed-first (CF/leadoff)")))</f>
        <v>Bat-first (corner/1B/DH)</v>
      </c>
      <c r="Z45" s="5" t="n">
        <f aca="false">P45</f>
        <v>3.15</v>
      </c>
      <c r="AA45" s="5" t="n">
        <f aca="false">IF(F45="Right",Q45,-1)</f>
        <v>4.8</v>
      </c>
      <c r="AB45" s="5" t="n">
        <f aca="false">R45</f>
        <v>6.4</v>
      </c>
      <c r="AC45" s="5" t="n">
        <f aca="false">IF(F45="Right",S45,-1)</f>
        <v>5.95</v>
      </c>
      <c r="AD45" s="5" t="n">
        <f aca="false">IF(F45="Right",T45,-1)</f>
        <v>5.5</v>
      </c>
      <c r="AE45" s="5" t="n">
        <f aca="false">IF(F45="Right",U45,-1)</f>
        <v>5.35</v>
      </c>
      <c r="AF45" s="5" t="n">
        <f aca="false">V45</f>
        <v>6.7</v>
      </c>
      <c r="AG45" s="5" t="n">
        <f aca="false">W45</f>
        <v>6.1</v>
      </c>
      <c r="AH45" s="5" t="n">
        <f aca="false">X45</f>
        <v>5.62</v>
      </c>
      <c r="AI45" s="4" t="str">
        <f aca="false">INDEX($Z$1:$AH$1,MATCH(MAX(Z45:AH45),Z45:AH45,0))</f>
        <v>LF</v>
      </c>
      <c r="AJ45" s="4" t="n">
        <f aca="false">MAX(Z45:AH45)</f>
        <v>6.7</v>
      </c>
      <c r="AK45" s="4" t="n">
        <f aca="false">SUMPRODUCT(($AI$2:$AI$73=AI45)*($AJ$2:$AJ$73&gt;AJ45))+SUMPRODUCT(($AI$2:$AI$73=AI45)*($AJ$2:$AJ$73=AJ45)*(ROW($AI$2:$AI$73)&lt;ROW(AI45)))+1</f>
        <v>3</v>
      </c>
      <c r="AL45" s="6" t="n">
        <f aca="false">SQRT((H45-'MLB Archetypes'!$C$2)^2+(I45-'MLB Archetypes'!$D$2)^2+(J45-'MLB Archetypes'!$E$2)^2+(K45-'MLB Archetypes'!$F$2)^2)</f>
        <v>9.53939201416946</v>
      </c>
      <c r="AM45" s="6" t="n">
        <f aca="false">SQRT((H45-'MLB Archetypes'!$C$3)^2+(I45-'MLB Archetypes'!$D$3)^2+(J45-'MLB Archetypes'!$E$3)^2+(K45-'MLB Archetypes'!$F$3)^2)</f>
        <v>8.48528137423857</v>
      </c>
      <c r="AN45" s="6" t="n">
        <f aca="false">SQRT((H45-'MLB Archetypes'!$C$4)^2+(I45-'MLB Archetypes'!$D$4)^2+(J45-'MLB Archetypes'!$E$4)^2+(K45-'MLB Archetypes'!$F$4)^2)</f>
        <v>6.48074069840786</v>
      </c>
      <c r="AO45" s="6" t="n">
        <f aca="false">SQRT((H45-'MLB Archetypes'!$C$5)^2+(I45-'MLB Archetypes'!$D$5)^2+(J45-'MLB Archetypes'!$E$5)^2+(K45-'MLB Archetypes'!$F$5)^2)</f>
        <v>5.19615242270663</v>
      </c>
      <c r="AP45" s="6" t="n">
        <f aca="false">SQRT((H45-'MLB Archetypes'!$C$6)^2+(I45-'MLB Archetypes'!$D$6)^2+(J45-'MLB Archetypes'!$E$6)^2+(K45-'MLB Archetypes'!$F$6)^2)</f>
        <v>5</v>
      </c>
      <c r="AQ45" s="6" t="n">
        <f aca="false">SQRT((H45-'MLB Archetypes'!$C$7)^2+(I45-'MLB Archetypes'!$D$7)^2+(J45-'MLB Archetypes'!$E$7)^2+(K45-'MLB Archetypes'!$F$7)^2)</f>
        <v>6</v>
      </c>
      <c r="AR45" s="6" t="n">
        <f aca="false">SQRT((H45-'MLB Archetypes'!$C$8)^2+(I45-'MLB Archetypes'!$D$8)^2+(J45-'MLB Archetypes'!$E$8)^2+(K45-'MLB Archetypes'!$F$8)^2)</f>
        <v>3.46410161513775</v>
      </c>
      <c r="AS45" s="6" t="n">
        <f aca="false">SQRT((H45-'MLB Archetypes'!$C$9)^2+(I45-'MLB Archetypes'!$D$9)^2+(J45-'MLB Archetypes'!$E$9)^2+(K45-'MLB Archetypes'!$F$9)^2)</f>
        <v>4.24264068711929</v>
      </c>
      <c r="AT45" s="6" t="n">
        <f aca="false">SQRT((H45-'MLB Archetypes'!$C$10)^2+(I45-'MLB Archetypes'!$D$10)^2+(J45-'MLB Archetypes'!$E$10)^2+(K45-'MLB Archetypes'!$F$10)^2)</f>
        <v>5.19615242270663</v>
      </c>
      <c r="AU45" s="6" t="n">
        <f aca="false">SQRT((H45-'MLB Archetypes'!$C$11)^2+(I45-'MLB Archetypes'!$D$11)^2+(J45-'MLB Archetypes'!$E$11)^2+(K45-'MLB Archetypes'!$F$11)^2)</f>
        <v>4.24264068711929</v>
      </c>
      <c r="AV45" s="6" t="n">
        <f aca="false">SQRT((H45-'MLB Archetypes'!$C$12)^2+(I45-'MLB Archetypes'!$D$12)^2+(J45-'MLB Archetypes'!$E$12)^2+(K45-'MLB Archetypes'!$F$12)^2)</f>
        <v>7.28010988928052</v>
      </c>
      <c r="AW45" s="6" t="n">
        <f aca="false">SQRT((H45-'MLB Archetypes'!$C$13)^2+(I45-'MLB Archetypes'!$D$13)^2+(J45-'MLB Archetypes'!$E$13)^2+(K45-'MLB Archetypes'!$F$13)^2)</f>
        <v>5.09901951359278</v>
      </c>
      <c r="AX45" s="6" t="n">
        <f aca="false">SQRT((H45-'MLB Archetypes'!$C$14)^2+(I45-'MLB Archetypes'!$D$14)^2+(J45-'MLB Archetypes'!$E$14)^2+(K45-'MLB Archetypes'!$F$14)^2)</f>
        <v>3.60555127546399</v>
      </c>
      <c r="AY45" s="6" t="n">
        <f aca="false">SQRT((H45-'MLB Archetypes'!$C$15)^2+(I45-'MLB Archetypes'!$D$15)^2+(J45-'MLB Archetypes'!$E$15)^2+(K45-'MLB Archetypes'!$F$15)^2)</f>
        <v>3.46410161513775</v>
      </c>
      <c r="AZ45" s="6" t="n">
        <f aca="false">SQRT((H45-'MLB Archetypes'!$C$16)^2+(I45-'MLB Archetypes'!$D$16)^2+(J45-'MLB Archetypes'!$E$16)^2+(K45-'MLB Archetypes'!$F$16)^2)</f>
        <v>5.29150262212918</v>
      </c>
      <c r="BA45" s="6" t="n">
        <f aca="false">SQRT((H45-'MLB Archetypes'!$C$17)^2+(I45-'MLB Archetypes'!$D$17)^2+(J45-'MLB Archetypes'!$E$17)^2+(K45-'MLB Archetypes'!$F$17)^2)</f>
        <v>3.74165738677394</v>
      </c>
      <c r="BB45" s="6" t="n">
        <f aca="false">SQRT((H45-'MLB Archetypes'!$C$18)^2+(I45-'MLB Archetypes'!$D$18)^2+(J45-'MLB Archetypes'!$E$18)^2+(K45-'MLB Archetypes'!$F$18)^2)</f>
        <v>3.60555127546399</v>
      </c>
      <c r="BC45" s="6" t="n">
        <f aca="false">SQRT((H45-'MLB Archetypes'!$C$19)^2+(I45-'MLB Archetypes'!$D$19)^2+(J45-'MLB Archetypes'!$E$19)^2+(K45-'MLB Archetypes'!$F$19)^2)</f>
        <v>4.24264068711929</v>
      </c>
      <c r="BD45" s="4" t="str">
        <f aca="false">INDEX('MLB Archetypes'!$B$2:$B$19,MATCH(MIN(AL45:BC45),AL45:BC45,0))</f>
        <v>Jackie Robinson</v>
      </c>
      <c r="BE45" s="7" t="n">
        <f aca="false">ROUND(10-MIN(AL45:BC45)/1.8,1)</f>
        <v>8.1</v>
      </c>
    </row>
    <row r="46" customFormat="false" ht="15" hidden="false" customHeight="false" outlineLevel="0" collapsed="false">
      <c r="A46" s="2" t="s">
        <v>111</v>
      </c>
      <c r="B46" s="2" t="s">
        <v>59</v>
      </c>
      <c r="C46" s="2" t="s">
        <v>111</v>
      </c>
      <c r="D46" s="2" t="s">
        <v>50</v>
      </c>
      <c r="E46" s="2" t="s">
        <v>50</v>
      </c>
      <c r="F46" s="2" t="s">
        <v>52</v>
      </c>
      <c r="G46" s="2" t="s">
        <v>52</v>
      </c>
      <c r="H46" s="3" t="n">
        <v>6</v>
      </c>
      <c r="I46" s="3" t="n">
        <v>3</v>
      </c>
      <c r="J46" s="3" t="n">
        <v>6</v>
      </c>
      <c r="K46" s="3" t="n">
        <v>4</v>
      </c>
      <c r="L46" s="4" t="n">
        <f aca="false">H46+I46+J46+K46</f>
        <v>19</v>
      </c>
      <c r="M46" s="4" t="n">
        <f aca="false">ROUND(0.75*I46+0.25*K46,2)</f>
        <v>3.25</v>
      </c>
      <c r="N46" s="4" t="n">
        <f aca="false">ROUND(0.7*J46+0.3*K46,2)</f>
        <v>5.4</v>
      </c>
      <c r="O46" s="4" t="n">
        <f aca="false">ROUND((H46+J46+K46)/3,2)</f>
        <v>5.33</v>
      </c>
      <c r="P46" s="4" t="n">
        <f aca="false">ROUND(0.85*H46+0.15*J46,2)</f>
        <v>6</v>
      </c>
      <c r="Q46" s="4" t="n">
        <f aca="false">ROUND(0.6*J46+0.3*I46+0.1*H46,2)</f>
        <v>5.1</v>
      </c>
      <c r="R46" s="4" t="n">
        <f aca="false">ROUND(0.7*I46+0.2*J46+0.1*K46,2)</f>
        <v>3.7</v>
      </c>
      <c r="S46" s="4" t="n">
        <f aca="false">ROUND(0.13*I46+0.35*J46+0.52*K46,2)</f>
        <v>4.57</v>
      </c>
      <c r="T46" s="4" t="n">
        <f aca="false">ROUND(0.4*I46+0.5*J46+0.1*K46,2)</f>
        <v>4.6</v>
      </c>
      <c r="U46" s="4" t="n">
        <f aca="false">ROUND(0.1*I46+0.55*J46+0.35*K46,2)</f>
        <v>5</v>
      </c>
      <c r="V46" s="4" t="n">
        <f aca="false">ROUND(0.6*I46+0.1*J46+0.3*K46,2)</f>
        <v>3.6</v>
      </c>
      <c r="W46" s="4" t="n">
        <f aca="false">ROUND(0.15*I46+0.3*J46+0.55*K46,2)</f>
        <v>4.45</v>
      </c>
      <c r="X46" s="4" t="n">
        <f aca="false">ROUND(0.46*I46+0.46*J46+0.08*K46,2)</f>
        <v>4.46</v>
      </c>
      <c r="Y46" s="4" t="str">
        <f aca="false">IF(H46=MAX(H46:K46),"Pitcher (arm-first)",IF(I46=MAX(H46:K46),"Bat-first (corner/1B/DH)",IF(J46=MAX(H46:K46),"Defense-first (up-the-middle)","Speed-first (CF/leadoff)")))</f>
        <v>Pitcher (arm-first)</v>
      </c>
      <c r="Z46" s="5" t="n">
        <f aca="false">P46</f>
        <v>6</v>
      </c>
      <c r="AA46" s="5" t="n">
        <f aca="false">IF(F46="Right",Q46,-1)</f>
        <v>5.1</v>
      </c>
      <c r="AB46" s="5" t="n">
        <f aca="false">R46</f>
        <v>3.7</v>
      </c>
      <c r="AC46" s="5" t="n">
        <f aca="false">IF(F46="Right",S46,-1)</f>
        <v>4.57</v>
      </c>
      <c r="AD46" s="5" t="n">
        <f aca="false">IF(F46="Right",T46,-1)</f>
        <v>4.6</v>
      </c>
      <c r="AE46" s="5" t="n">
        <f aca="false">IF(F46="Right",U46,-1)</f>
        <v>5</v>
      </c>
      <c r="AF46" s="5" t="n">
        <f aca="false">V46</f>
        <v>3.6</v>
      </c>
      <c r="AG46" s="5" t="n">
        <f aca="false">W46</f>
        <v>4.45</v>
      </c>
      <c r="AH46" s="5" t="n">
        <f aca="false">X46</f>
        <v>4.46</v>
      </c>
      <c r="AI46" s="4" t="str">
        <f aca="false">INDEX($Z$1:$AH$1,MATCH(MAX(Z46:AH46),Z46:AH46,0))</f>
        <v>P</v>
      </c>
      <c r="AJ46" s="4" t="n">
        <f aca="false">MAX(Z46:AH46)</f>
        <v>6</v>
      </c>
      <c r="AK46" s="4" t="n">
        <f aca="false">SUMPRODUCT(($AI$2:$AI$73=AI46)*($AJ$2:$AJ$73&gt;AJ46))+SUMPRODUCT(($AI$2:$AI$73=AI46)*($AJ$2:$AJ$73=AJ46)*(ROW($AI$2:$AI$73)&lt;ROW(AI46)))+1</f>
        <v>12</v>
      </c>
      <c r="AL46" s="6" t="n">
        <f aca="false">SQRT((H46-'MLB Archetypes'!$C$2)^2+(I46-'MLB Archetypes'!$D$2)^2+(J46-'MLB Archetypes'!$E$2)^2+(K46-'MLB Archetypes'!$F$2)^2)</f>
        <v>4.35889894354067</v>
      </c>
      <c r="AM46" s="6" t="n">
        <f aca="false">SQRT((H46-'MLB Archetypes'!$C$3)^2+(I46-'MLB Archetypes'!$D$3)^2+(J46-'MLB Archetypes'!$E$3)^2+(K46-'MLB Archetypes'!$F$3)^2)</f>
        <v>3.16227766016838</v>
      </c>
      <c r="AN46" s="6" t="n">
        <f aca="false">SQRT((H46-'MLB Archetypes'!$C$4)^2+(I46-'MLB Archetypes'!$D$4)^2+(J46-'MLB Archetypes'!$E$4)^2+(K46-'MLB Archetypes'!$F$4)^2)</f>
        <v>6.48074069840786</v>
      </c>
      <c r="AO46" s="6" t="n">
        <f aca="false">SQRT((H46-'MLB Archetypes'!$C$5)^2+(I46-'MLB Archetypes'!$D$5)^2+(J46-'MLB Archetypes'!$E$5)^2+(K46-'MLB Archetypes'!$F$5)^2)</f>
        <v>5.3851648071345</v>
      </c>
      <c r="AP46" s="6" t="n">
        <f aca="false">SQRT((H46-'MLB Archetypes'!$C$6)^2+(I46-'MLB Archetypes'!$D$6)^2+(J46-'MLB Archetypes'!$E$6)^2+(K46-'MLB Archetypes'!$F$6)^2)</f>
        <v>7.28010988928052</v>
      </c>
      <c r="AQ46" s="6" t="n">
        <f aca="false">SQRT((H46-'MLB Archetypes'!$C$7)^2+(I46-'MLB Archetypes'!$D$7)^2+(J46-'MLB Archetypes'!$E$7)^2+(K46-'MLB Archetypes'!$F$7)^2)</f>
        <v>5.8309518948453</v>
      </c>
      <c r="AR46" s="6" t="n">
        <f aca="false">SQRT((H46-'MLB Archetypes'!$C$8)^2+(I46-'MLB Archetypes'!$D$8)^2+(J46-'MLB Archetypes'!$E$8)^2+(K46-'MLB Archetypes'!$F$8)^2)</f>
        <v>6.48074069840786</v>
      </c>
      <c r="AS46" s="6" t="n">
        <f aca="false">SQRT((H46-'MLB Archetypes'!$C$9)^2+(I46-'MLB Archetypes'!$D$9)^2+(J46-'MLB Archetypes'!$E$9)^2+(K46-'MLB Archetypes'!$F$9)^2)</f>
        <v>6.32455532033676</v>
      </c>
      <c r="AT46" s="6" t="n">
        <f aca="false">SQRT((H46-'MLB Archetypes'!$C$10)^2+(I46-'MLB Archetypes'!$D$10)^2+(J46-'MLB Archetypes'!$E$10)^2+(K46-'MLB Archetypes'!$F$10)^2)</f>
        <v>6.70820393249937</v>
      </c>
      <c r="AU46" s="6" t="n">
        <f aca="false">SQRT((H46-'MLB Archetypes'!$C$11)^2+(I46-'MLB Archetypes'!$D$11)^2+(J46-'MLB Archetypes'!$E$11)^2+(K46-'MLB Archetypes'!$F$11)^2)</f>
        <v>7.21110255092798</v>
      </c>
      <c r="AV46" s="6" t="n">
        <f aca="false">SQRT((H46-'MLB Archetypes'!$C$12)^2+(I46-'MLB Archetypes'!$D$12)^2+(J46-'MLB Archetypes'!$E$12)^2+(K46-'MLB Archetypes'!$F$12)^2)</f>
        <v>6.40312423743285</v>
      </c>
      <c r="AW46" s="6" t="n">
        <f aca="false">SQRT((H46-'MLB Archetypes'!$C$13)^2+(I46-'MLB Archetypes'!$D$13)^2+(J46-'MLB Archetypes'!$E$13)^2+(K46-'MLB Archetypes'!$F$13)^2)</f>
        <v>5.8309518948453</v>
      </c>
      <c r="AX46" s="6" t="n">
        <f aca="false">SQRT((H46-'MLB Archetypes'!$C$14)^2+(I46-'MLB Archetypes'!$D$14)^2+(J46-'MLB Archetypes'!$E$14)^2+(K46-'MLB Archetypes'!$F$14)^2)</f>
        <v>7.28010988928052</v>
      </c>
      <c r="AY46" s="6" t="n">
        <f aca="false">SQRT((H46-'MLB Archetypes'!$C$15)^2+(I46-'MLB Archetypes'!$D$15)^2+(J46-'MLB Archetypes'!$E$15)^2+(K46-'MLB Archetypes'!$F$15)^2)</f>
        <v>7.87400787401181</v>
      </c>
      <c r="AZ46" s="6" t="n">
        <f aca="false">SQRT((H46-'MLB Archetypes'!$C$16)^2+(I46-'MLB Archetypes'!$D$16)^2+(J46-'MLB Archetypes'!$E$16)^2+(K46-'MLB Archetypes'!$F$16)^2)</f>
        <v>8.12403840463596</v>
      </c>
      <c r="BA46" s="6" t="n">
        <f aca="false">SQRT((H46-'MLB Archetypes'!$C$17)^2+(I46-'MLB Archetypes'!$D$17)^2+(J46-'MLB Archetypes'!$E$17)^2+(K46-'MLB Archetypes'!$F$17)^2)</f>
        <v>7.61577310586391</v>
      </c>
      <c r="BB46" s="6" t="n">
        <f aca="false">SQRT((H46-'MLB Archetypes'!$C$18)^2+(I46-'MLB Archetypes'!$D$18)^2+(J46-'MLB Archetypes'!$E$18)^2+(K46-'MLB Archetypes'!$F$18)^2)</f>
        <v>7.28010988928052</v>
      </c>
      <c r="BC46" s="6" t="n">
        <f aca="false">SQRT((H46-'MLB Archetypes'!$C$19)^2+(I46-'MLB Archetypes'!$D$19)^2+(J46-'MLB Archetypes'!$E$19)^2+(K46-'MLB Archetypes'!$F$19)^2)</f>
        <v>6.32455532033676</v>
      </c>
      <c r="BD46" s="4" t="str">
        <f aca="false">INDEX('MLB Archetypes'!$B$2:$B$19,MATCH(MIN(AL46:BC46),AL46:BC46,0))</f>
        <v>Greg Maddux</v>
      </c>
      <c r="BE46" s="7" t="n">
        <f aca="false">ROUND(10-MIN(AL46:BC46)/1.8,1)</f>
        <v>8.2</v>
      </c>
    </row>
    <row r="47" customFormat="false" ht="15" hidden="false" customHeight="false" outlineLevel="0" collapsed="false">
      <c r="A47" s="2" t="s">
        <v>112</v>
      </c>
      <c r="B47" s="2" t="s">
        <v>59</v>
      </c>
      <c r="C47" s="2" t="s">
        <v>113</v>
      </c>
      <c r="D47" s="2" t="s">
        <v>50</v>
      </c>
      <c r="E47" s="2" t="s">
        <v>50</v>
      </c>
      <c r="F47" s="2" t="s">
        <v>52</v>
      </c>
      <c r="G47" s="2" t="s">
        <v>57</v>
      </c>
      <c r="H47" s="3" t="n">
        <v>3</v>
      </c>
      <c r="I47" s="3" t="n">
        <v>6</v>
      </c>
      <c r="J47" s="3" t="n">
        <v>4</v>
      </c>
      <c r="K47" s="3" t="n">
        <v>6</v>
      </c>
      <c r="L47" s="4" t="n">
        <f aca="false">H47+I47+J47+K47</f>
        <v>19</v>
      </c>
      <c r="M47" s="4" t="n">
        <f aca="false">ROUND(0.75*I47+0.25*K47,2)</f>
        <v>6</v>
      </c>
      <c r="N47" s="4" t="n">
        <f aca="false">ROUND(0.7*J47+0.3*K47,2)</f>
        <v>4.6</v>
      </c>
      <c r="O47" s="4" t="n">
        <f aca="false">ROUND((H47+J47+K47)/3,2)</f>
        <v>4.33</v>
      </c>
      <c r="P47" s="4" t="n">
        <f aca="false">ROUND(0.85*H47+0.15*J47,2)</f>
        <v>3.15</v>
      </c>
      <c r="Q47" s="4" t="n">
        <f aca="false">ROUND(0.6*J47+0.3*I47+0.1*H47,2)</f>
        <v>4.5</v>
      </c>
      <c r="R47" s="4" t="n">
        <f aca="false">ROUND(0.7*I47+0.2*J47+0.1*K47,2)</f>
        <v>5.6</v>
      </c>
      <c r="S47" s="4" t="n">
        <f aca="false">ROUND(0.13*I47+0.35*J47+0.52*K47,2)</f>
        <v>5.3</v>
      </c>
      <c r="T47" s="4" t="n">
        <f aca="false">ROUND(0.4*I47+0.5*J47+0.1*K47,2)</f>
        <v>5</v>
      </c>
      <c r="U47" s="4" t="n">
        <f aca="false">ROUND(0.1*I47+0.55*J47+0.35*K47,2)</f>
        <v>4.9</v>
      </c>
      <c r="V47" s="4" t="n">
        <f aca="false">ROUND(0.6*I47+0.1*J47+0.3*K47,2)</f>
        <v>5.8</v>
      </c>
      <c r="W47" s="4" t="n">
        <f aca="false">ROUND(0.15*I47+0.3*J47+0.55*K47,2)</f>
        <v>5.4</v>
      </c>
      <c r="X47" s="4" t="n">
        <f aca="false">ROUND(0.46*I47+0.46*J47+0.08*K47,2)</f>
        <v>5.08</v>
      </c>
      <c r="Y47" s="4" t="str">
        <f aca="false">IF(H47=MAX(H47:K47),"Pitcher (arm-first)",IF(I47=MAX(H47:K47),"Bat-first (corner/1B/DH)",IF(J47=MAX(H47:K47),"Defense-first (up-the-middle)","Speed-first (CF/leadoff)")))</f>
        <v>Bat-first (corner/1B/DH)</v>
      </c>
      <c r="Z47" s="5" t="n">
        <f aca="false">P47</f>
        <v>3.15</v>
      </c>
      <c r="AA47" s="5" t="n">
        <f aca="false">IF(F47="Right",Q47,-1)</f>
        <v>4.5</v>
      </c>
      <c r="AB47" s="5" t="n">
        <f aca="false">R47</f>
        <v>5.6</v>
      </c>
      <c r="AC47" s="5" t="n">
        <f aca="false">IF(F47="Right",S47,-1)</f>
        <v>5.3</v>
      </c>
      <c r="AD47" s="5" t="n">
        <f aca="false">IF(F47="Right",T47,-1)</f>
        <v>5</v>
      </c>
      <c r="AE47" s="5" t="n">
        <f aca="false">IF(F47="Right",U47,-1)</f>
        <v>4.9</v>
      </c>
      <c r="AF47" s="5" t="n">
        <f aca="false">V47</f>
        <v>5.8</v>
      </c>
      <c r="AG47" s="5" t="n">
        <f aca="false">W47</f>
        <v>5.4</v>
      </c>
      <c r="AH47" s="5" t="n">
        <f aca="false">X47</f>
        <v>5.08</v>
      </c>
      <c r="AI47" s="4" t="str">
        <f aca="false">INDEX($Z$1:$AH$1,MATCH(MAX(Z47:AH47),Z47:AH47,0))</f>
        <v>LF</v>
      </c>
      <c r="AJ47" s="4" t="n">
        <f aca="false">MAX(Z47:AH47)</f>
        <v>5.8</v>
      </c>
      <c r="AK47" s="4" t="n">
        <f aca="false">SUMPRODUCT(($AI$2:$AI$73=AI47)*($AJ$2:$AJ$73&gt;AJ47))+SUMPRODUCT(($AI$2:$AI$73=AI47)*($AJ$2:$AJ$73=AJ47)*(ROW($AI$2:$AI$73)&lt;ROW(AI47)))+1</f>
        <v>8</v>
      </c>
      <c r="AL47" s="6" t="n">
        <f aca="false">SQRT((H47-'MLB Archetypes'!$C$2)^2+(I47-'MLB Archetypes'!$D$2)^2+(J47-'MLB Archetypes'!$E$2)^2+(K47-'MLB Archetypes'!$F$2)^2)</f>
        <v>8.66025403784439</v>
      </c>
      <c r="AM47" s="6" t="n">
        <f aca="false">SQRT((H47-'MLB Archetypes'!$C$3)^2+(I47-'MLB Archetypes'!$D$3)^2+(J47-'MLB Archetypes'!$E$3)^2+(K47-'MLB Archetypes'!$F$3)^2)</f>
        <v>7.61577310586391</v>
      </c>
      <c r="AN47" s="6" t="n">
        <f aca="false">SQRT((H47-'MLB Archetypes'!$C$4)^2+(I47-'MLB Archetypes'!$D$4)^2+(J47-'MLB Archetypes'!$E$4)^2+(K47-'MLB Archetypes'!$F$4)^2)</f>
        <v>6</v>
      </c>
      <c r="AO47" s="6" t="n">
        <f aca="false">SQRT((H47-'MLB Archetypes'!$C$5)^2+(I47-'MLB Archetypes'!$D$5)^2+(J47-'MLB Archetypes'!$E$5)^2+(K47-'MLB Archetypes'!$F$5)^2)</f>
        <v>4.58257569495584</v>
      </c>
      <c r="AP47" s="6" t="n">
        <f aca="false">SQRT((H47-'MLB Archetypes'!$C$6)^2+(I47-'MLB Archetypes'!$D$6)^2+(J47-'MLB Archetypes'!$E$6)^2+(K47-'MLB Archetypes'!$F$6)^2)</f>
        <v>4.79583152331272</v>
      </c>
      <c r="AQ47" s="6" t="n">
        <f aca="false">SQRT((H47-'MLB Archetypes'!$C$7)^2+(I47-'MLB Archetypes'!$D$7)^2+(J47-'MLB Archetypes'!$E$7)^2+(K47-'MLB Archetypes'!$F$7)^2)</f>
        <v>5.47722557505166</v>
      </c>
      <c r="AR47" s="6" t="n">
        <f aca="false">SQRT((H47-'MLB Archetypes'!$C$8)^2+(I47-'MLB Archetypes'!$D$8)^2+(J47-'MLB Archetypes'!$E$8)^2+(K47-'MLB Archetypes'!$F$8)^2)</f>
        <v>3.74165738677394</v>
      </c>
      <c r="AS47" s="6" t="n">
        <f aca="false">SQRT((H47-'MLB Archetypes'!$C$9)^2+(I47-'MLB Archetypes'!$D$9)^2+(J47-'MLB Archetypes'!$E$9)^2+(K47-'MLB Archetypes'!$F$9)^2)</f>
        <v>4.24264068711929</v>
      </c>
      <c r="AT47" s="6" t="n">
        <f aca="false">SQRT((H47-'MLB Archetypes'!$C$10)^2+(I47-'MLB Archetypes'!$D$10)^2+(J47-'MLB Archetypes'!$E$10)^2+(K47-'MLB Archetypes'!$F$10)^2)</f>
        <v>5</v>
      </c>
      <c r="AU47" s="6" t="n">
        <f aca="false">SQRT((H47-'MLB Archetypes'!$C$11)^2+(I47-'MLB Archetypes'!$D$11)^2+(J47-'MLB Archetypes'!$E$11)^2+(K47-'MLB Archetypes'!$F$11)^2)</f>
        <v>4.24264068711929</v>
      </c>
      <c r="AV47" s="6" t="n">
        <f aca="false">SQRT((H47-'MLB Archetypes'!$C$12)^2+(I47-'MLB Archetypes'!$D$12)^2+(J47-'MLB Archetypes'!$E$12)^2+(K47-'MLB Archetypes'!$F$12)^2)</f>
        <v>6.85565460040104</v>
      </c>
      <c r="AW47" s="6" t="n">
        <f aca="false">SQRT((H47-'MLB Archetypes'!$C$13)^2+(I47-'MLB Archetypes'!$D$13)^2+(J47-'MLB Archetypes'!$E$13)^2+(K47-'MLB Archetypes'!$F$13)^2)</f>
        <v>4.47213595499958</v>
      </c>
      <c r="AX47" s="6" t="n">
        <f aca="false">SQRT((H47-'MLB Archetypes'!$C$14)^2+(I47-'MLB Archetypes'!$D$14)^2+(J47-'MLB Archetypes'!$E$14)^2+(K47-'MLB Archetypes'!$F$14)^2)</f>
        <v>3.87298334620742</v>
      </c>
      <c r="AY47" s="6" t="n">
        <f aca="false">SQRT((H47-'MLB Archetypes'!$C$15)^2+(I47-'MLB Archetypes'!$D$15)^2+(J47-'MLB Archetypes'!$E$15)^2+(K47-'MLB Archetypes'!$F$15)^2)</f>
        <v>4.24264068711929</v>
      </c>
      <c r="AZ47" s="6" t="n">
        <f aca="false">SQRT((H47-'MLB Archetypes'!$C$16)^2+(I47-'MLB Archetypes'!$D$16)^2+(J47-'MLB Archetypes'!$E$16)^2+(K47-'MLB Archetypes'!$F$16)^2)</f>
        <v>5.8309518948453</v>
      </c>
      <c r="BA47" s="6" t="n">
        <f aca="false">SQRT((H47-'MLB Archetypes'!$C$17)^2+(I47-'MLB Archetypes'!$D$17)^2+(J47-'MLB Archetypes'!$E$17)^2+(K47-'MLB Archetypes'!$F$17)^2)</f>
        <v>4.47213595499958</v>
      </c>
      <c r="BB47" s="6" t="n">
        <f aca="false">SQRT((H47-'MLB Archetypes'!$C$18)^2+(I47-'MLB Archetypes'!$D$18)^2+(J47-'MLB Archetypes'!$E$18)^2+(K47-'MLB Archetypes'!$F$18)^2)</f>
        <v>3.87298334620742</v>
      </c>
      <c r="BC47" s="6" t="n">
        <f aca="false">SQRT((H47-'MLB Archetypes'!$C$19)^2+(I47-'MLB Archetypes'!$D$19)^2+(J47-'MLB Archetypes'!$E$19)^2+(K47-'MLB Archetypes'!$F$19)^2)</f>
        <v>4.24264068711929</v>
      </c>
      <c r="BD47" s="4" t="str">
        <f aca="false">INDEX('MLB Archetypes'!$B$2:$B$19,MATCH(MIN(AL47:BC47),AL47:BC47,0))</f>
        <v>Jackie Robinson</v>
      </c>
      <c r="BE47" s="7" t="n">
        <f aca="false">ROUND(10-MIN(AL47:BC47)/1.8,1)</f>
        <v>7.9</v>
      </c>
    </row>
    <row r="48" customFormat="false" ht="15" hidden="false" customHeight="false" outlineLevel="0" collapsed="false">
      <c r="A48" s="2" t="s">
        <v>114</v>
      </c>
      <c r="B48" s="2" t="s">
        <v>59</v>
      </c>
      <c r="C48" s="2" t="s">
        <v>113</v>
      </c>
      <c r="D48" s="2" t="s">
        <v>51</v>
      </c>
      <c r="E48" s="2" t="s">
        <v>50</v>
      </c>
      <c r="F48" s="2" t="s">
        <v>52</v>
      </c>
      <c r="G48" s="2" t="s">
        <v>57</v>
      </c>
      <c r="H48" s="3" t="n">
        <v>4</v>
      </c>
      <c r="I48" s="3" t="n">
        <v>6</v>
      </c>
      <c r="J48" s="3" t="n">
        <v>3</v>
      </c>
      <c r="K48" s="3" t="n">
        <v>6</v>
      </c>
      <c r="L48" s="4" t="n">
        <f aca="false">H48+I48+J48+K48</f>
        <v>19</v>
      </c>
      <c r="M48" s="4" t="n">
        <f aca="false">ROUND(0.75*I48+0.25*K48,2)</f>
        <v>6</v>
      </c>
      <c r="N48" s="4" t="n">
        <f aca="false">ROUND(0.7*J48+0.3*K48,2)</f>
        <v>3.9</v>
      </c>
      <c r="O48" s="4" t="n">
        <f aca="false">ROUND((H48+J48+K48)/3,2)</f>
        <v>4.33</v>
      </c>
      <c r="P48" s="4" t="n">
        <f aca="false">ROUND(0.85*H48+0.15*J48,2)</f>
        <v>3.85</v>
      </c>
      <c r="Q48" s="4" t="n">
        <f aca="false">ROUND(0.6*J48+0.3*I48+0.1*H48,2)</f>
        <v>4</v>
      </c>
      <c r="R48" s="4" t="n">
        <f aca="false">ROUND(0.7*I48+0.2*J48+0.1*K48,2)</f>
        <v>5.4</v>
      </c>
      <c r="S48" s="4" t="n">
        <f aca="false">ROUND(0.13*I48+0.35*J48+0.52*K48,2)</f>
        <v>4.95</v>
      </c>
      <c r="T48" s="4" t="n">
        <f aca="false">ROUND(0.4*I48+0.5*J48+0.1*K48,2)</f>
        <v>4.5</v>
      </c>
      <c r="U48" s="4" t="n">
        <f aca="false">ROUND(0.1*I48+0.55*J48+0.35*K48,2)</f>
        <v>4.35</v>
      </c>
      <c r="V48" s="4" t="n">
        <f aca="false">ROUND(0.6*I48+0.1*J48+0.3*K48,2)</f>
        <v>5.7</v>
      </c>
      <c r="W48" s="4" t="n">
        <f aca="false">ROUND(0.15*I48+0.3*J48+0.55*K48,2)</f>
        <v>5.1</v>
      </c>
      <c r="X48" s="4" t="n">
        <f aca="false">ROUND(0.46*I48+0.46*J48+0.08*K48,2)</f>
        <v>4.62</v>
      </c>
      <c r="Y48" s="4" t="str">
        <f aca="false">IF(H48=MAX(H48:K48),"Pitcher (arm-first)",IF(I48=MAX(H48:K48),"Bat-first (corner/1B/DH)",IF(J48=MAX(H48:K48),"Defense-first (up-the-middle)","Speed-first (CF/leadoff)")))</f>
        <v>Bat-first (corner/1B/DH)</v>
      </c>
      <c r="Z48" s="5" t="n">
        <f aca="false">P48</f>
        <v>3.85</v>
      </c>
      <c r="AA48" s="5" t="n">
        <f aca="false">IF(F48="Right",Q48,-1)</f>
        <v>4</v>
      </c>
      <c r="AB48" s="5" t="n">
        <f aca="false">R48</f>
        <v>5.4</v>
      </c>
      <c r="AC48" s="5" t="n">
        <f aca="false">IF(F48="Right",S48,-1)</f>
        <v>4.95</v>
      </c>
      <c r="AD48" s="5" t="n">
        <f aca="false">IF(F48="Right",T48,-1)</f>
        <v>4.5</v>
      </c>
      <c r="AE48" s="5" t="n">
        <f aca="false">IF(F48="Right",U48,-1)</f>
        <v>4.35</v>
      </c>
      <c r="AF48" s="5" t="n">
        <f aca="false">V48</f>
        <v>5.7</v>
      </c>
      <c r="AG48" s="5" t="n">
        <f aca="false">W48</f>
        <v>5.1</v>
      </c>
      <c r="AH48" s="5" t="n">
        <f aca="false">X48</f>
        <v>4.62</v>
      </c>
      <c r="AI48" s="4" t="str">
        <f aca="false">INDEX($Z$1:$AH$1,MATCH(MAX(Z48:AH48),Z48:AH48,0))</f>
        <v>LF</v>
      </c>
      <c r="AJ48" s="4" t="n">
        <f aca="false">MAX(Z48:AH48)</f>
        <v>5.7</v>
      </c>
      <c r="AK48" s="4" t="n">
        <f aca="false">SUMPRODUCT(($AI$2:$AI$73=AI48)*($AJ$2:$AJ$73&gt;AJ48))+SUMPRODUCT(($AI$2:$AI$73=AI48)*($AJ$2:$AJ$73=AJ48)*(ROW($AI$2:$AI$73)&lt;ROW(AI48)))+1</f>
        <v>9</v>
      </c>
      <c r="AL48" s="6" t="n">
        <f aca="false">SQRT((H48-'MLB Archetypes'!$C$2)^2+(I48-'MLB Archetypes'!$D$2)^2+(J48-'MLB Archetypes'!$E$2)^2+(K48-'MLB Archetypes'!$F$2)^2)</f>
        <v>8.06225774829855</v>
      </c>
      <c r="AM48" s="6" t="n">
        <f aca="false">SQRT((H48-'MLB Archetypes'!$C$3)^2+(I48-'MLB Archetypes'!$D$3)^2+(J48-'MLB Archetypes'!$E$3)^2+(K48-'MLB Archetypes'!$F$3)^2)</f>
        <v>7.21110255092798</v>
      </c>
      <c r="AN48" s="6" t="n">
        <f aca="false">SQRT((H48-'MLB Archetypes'!$C$4)^2+(I48-'MLB Archetypes'!$D$4)^2+(J48-'MLB Archetypes'!$E$4)^2+(K48-'MLB Archetypes'!$F$4)^2)</f>
        <v>7.07106781186548</v>
      </c>
      <c r="AO48" s="6" t="n">
        <f aca="false">SQRT((H48-'MLB Archetypes'!$C$5)^2+(I48-'MLB Archetypes'!$D$5)^2+(J48-'MLB Archetypes'!$E$5)^2+(K48-'MLB Archetypes'!$F$5)^2)</f>
        <v>5.74456264653803</v>
      </c>
      <c r="AP48" s="6" t="n">
        <f aca="false">SQRT((H48-'MLB Archetypes'!$C$6)^2+(I48-'MLB Archetypes'!$D$6)^2+(J48-'MLB Archetypes'!$E$6)^2+(K48-'MLB Archetypes'!$F$6)^2)</f>
        <v>5.56776436283002</v>
      </c>
      <c r="AQ48" s="6" t="n">
        <f aca="false">SQRT((H48-'MLB Archetypes'!$C$7)^2+(I48-'MLB Archetypes'!$D$7)^2+(J48-'MLB Archetypes'!$E$7)^2+(K48-'MLB Archetypes'!$F$7)^2)</f>
        <v>6.6332495807108</v>
      </c>
      <c r="AR48" s="6" t="n">
        <f aca="false">SQRT((H48-'MLB Archetypes'!$C$8)^2+(I48-'MLB Archetypes'!$D$8)^2+(J48-'MLB Archetypes'!$E$8)^2+(K48-'MLB Archetypes'!$F$8)^2)</f>
        <v>4.89897948556636</v>
      </c>
      <c r="AS48" s="6" t="n">
        <f aca="false">SQRT((H48-'MLB Archetypes'!$C$9)^2+(I48-'MLB Archetypes'!$D$9)^2+(J48-'MLB Archetypes'!$E$9)^2+(K48-'MLB Archetypes'!$F$9)^2)</f>
        <v>5.47722557505166</v>
      </c>
      <c r="AT48" s="6" t="n">
        <f aca="false">SQRT((H48-'MLB Archetypes'!$C$10)^2+(I48-'MLB Archetypes'!$D$10)^2+(J48-'MLB Archetypes'!$E$10)^2+(K48-'MLB Archetypes'!$F$10)^2)</f>
        <v>6.08276253029822</v>
      </c>
      <c r="AU48" s="6" t="n">
        <f aca="false">SQRT((H48-'MLB Archetypes'!$C$11)^2+(I48-'MLB Archetypes'!$D$11)^2+(J48-'MLB Archetypes'!$E$11)^2+(K48-'MLB Archetypes'!$F$11)^2)</f>
        <v>5.09901951359278</v>
      </c>
      <c r="AV48" s="6" t="n">
        <f aca="false">SQRT((H48-'MLB Archetypes'!$C$12)^2+(I48-'MLB Archetypes'!$D$12)^2+(J48-'MLB Archetypes'!$E$12)^2+(K48-'MLB Archetypes'!$F$12)^2)</f>
        <v>7.93725393319377</v>
      </c>
      <c r="AW48" s="6" t="n">
        <f aca="false">SQRT((H48-'MLB Archetypes'!$C$13)^2+(I48-'MLB Archetypes'!$D$13)^2+(J48-'MLB Archetypes'!$E$13)^2+(K48-'MLB Archetypes'!$F$13)^2)</f>
        <v>5.47722557505166</v>
      </c>
      <c r="AX48" s="6" t="n">
        <f aca="false">SQRT((H48-'MLB Archetypes'!$C$14)^2+(I48-'MLB Archetypes'!$D$14)^2+(J48-'MLB Archetypes'!$E$14)^2+(K48-'MLB Archetypes'!$F$14)^2)</f>
        <v>4.79583152331272</v>
      </c>
      <c r="AY48" s="6" t="n">
        <f aca="false">SQRT((H48-'MLB Archetypes'!$C$15)^2+(I48-'MLB Archetypes'!$D$15)^2+(J48-'MLB Archetypes'!$E$15)^2+(K48-'MLB Archetypes'!$F$15)^2)</f>
        <v>4.89897948556636</v>
      </c>
      <c r="AZ48" s="6" t="n">
        <f aca="false">SQRT((H48-'MLB Archetypes'!$C$16)^2+(I48-'MLB Archetypes'!$D$16)^2+(J48-'MLB Archetypes'!$E$16)^2+(K48-'MLB Archetypes'!$F$16)^2)</f>
        <v>6.92820323027551</v>
      </c>
      <c r="BA48" s="6" t="n">
        <f aca="false">SQRT((H48-'MLB Archetypes'!$C$17)^2+(I48-'MLB Archetypes'!$D$17)^2+(J48-'MLB Archetypes'!$E$17)^2+(K48-'MLB Archetypes'!$F$17)^2)</f>
        <v>5.47722557505166</v>
      </c>
      <c r="BB48" s="6" t="n">
        <f aca="false">SQRT((H48-'MLB Archetypes'!$C$18)^2+(I48-'MLB Archetypes'!$D$18)^2+(J48-'MLB Archetypes'!$E$18)^2+(K48-'MLB Archetypes'!$F$18)^2)</f>
        <v>4.79583152331272</v>
      </c>
      <c r="BC48" s="6" t="n">
        <f aca="false">SQRT((H48-'MLB Archetypes'!$C$19)^2+(I48-'MLB Archetypes'!$D$19)^2+(J48-'MLB Archetypes'!$E$19)^2+(K48-'MLB Archetypes'!$F$19)^2)</f>
        <v>5.47722557505166</v>
      </c>
      <c r="BD48" s="4" t="str">
        <f aca="false">INDEX('MLB Archetypes'!$B$2:$B$19,MATCH(MIN(AL48:BC48),AL48:BC48,0))</f>
        <v>Barry Bonds</v>
      </c>
      <c r="BE48" s="7" t="n">
        <f aca="false">ROUND(10-MIN(AL48:BC48)/1.8,1)</f>
        <v>7.3</v>
      </c>
    </row>
    <row r="49" customFormat="false" ht="15" hidden="false" customHeight="false" outlineLevel="0" collapsed="false">
      <c r="A49" s="2" t="s">
        <v>115</v>
      </c>
      <c r="B49" s="2" t="s">
        <v>59</v>
      </c>
      <c r="C49" s="2" t="s">
        <v>115</v>
      </c>
      <c r="D49" s="2" t="s">
        <v>50</v>
      </c>
      <c r="E49" s="2" t="s">
        <v>50</v>
      </c>
      <c r="F49" s="2" t="s">
        <v>52</v>
      </c>
      <c r="G49" s="2" t="s">
        <v>52</v>
      </c>
      <c r="H49" s="3" t="n">
        <v>6</v>
      </c>
      <c r="I49" s="3" t="n">
        <v>3</v>
      </c>
      <c r="J49" s="3" t="n">
        <v>7</v>
      </c>
      <c r="K49" s="3" t="n">
        <v>5</v>
      </c>
      <c r="L49" s="4" t="n">
        <f aca="false">H49+I49+J49+K49</f>
        <v>21</v>
      </c>
      <c r="M49" s="4" t="n">
        <f aca="false">ROUND(0.75*I49+0.25*K49,2)</f>
        <v>3.5</v>
      </c>
      <c r="N49" s="4" t="n">
        <f aca="false">ROUND(0.7*J49+0.3*K49,2)</f>
        <v>6.4</v>
      </c>
      <c r="O49" s="4" t="n">
        <f aca="false">ROUND((H49+J49+K49)/3,2)</f>
        <v>6</v>
      </c>
      <c r="P49" s="4" t="n">
        <f aca="false">ROUND(0.85*H49+0.15*J49,2)</f>
        <v>6.15</v>
      </c>
      <c r="Q49" s="4" t="n">
        <f aca="false">ROUND(0.6*J49+0.3*I49+0.1*H49,2)</f>
        <v>5.7</v>
      </c>
      <c r="R49" s="4" t="n">
        <f aca="false">ROUND(0.7*I49+0.2*J49+0.1*K49,2)</f>
        <v>4</v>
      </c>
      <c r="S49" s="4" t="n">
        <f aca="false">ROUND(0.13*I49+0.35*J49+0.52*K49,2)</f>
        <v>5.44</v>
      </c>
      <c r="T49" s="4" t="n">
        <f aca="false">ROUND(0.4*I49+0.5*J49+0.1*K49,2)</f>
        <v>5.2</v>
      </c>
      <c r="U49" s="4" t="n">
        <f aca="false">ROUND(0.1*I49+0.55*J49+0.35*K49,2)</f>
        <v>5.9</v>
      </c>
      <c r="V49" s="4" t="n">
        <f aca="false">ROUND(0.6*I49+0.1*J49+0.3*K49,2)</f>
        <v>4</v>
      </c>
      <c r="W49" s="4" t="n">
        <f aca="false">ROUND(0.15*I49+0.3*J49+0.55*K49,2)</f>
        <v>5.3</v>
      </c>
      <c r="X49" s="4" t="n">
        <f aca="false">ROUND(0.46*I49+0.46*J49+0.08*K49,2)</f>
        <v>5</v>
      </c>
      <c r="Y49" s="4" t="str">
        <f aca="false">IF(H49=MAX(H49:K49),"Pitcher (arm-first)",IF(I49=MAX(H49:K49),"Bat-first (corner/1B/DH)",IF(J49=MAX(H49:K49),"Defense-first (up-the-middle)","Speed-first (CF/leadoff)")))</f>
        <v>Defense-first (up-the-middle)</v>
      </c>
      <c r="Z49" s="5" t="n">
        <f aca="false">P49</f>
        <v>6.15</v>
      </c>
      <c r="AA49" s="5" t="n">
        <f aca="false">IF(F49="Right",Q49,-1)</f>
        <v>5.7</v>
      </c>
      <c r="AB49" s="5" t="n">
        <f aca="false">R49</f>
        <v>4</v>
      </c>
      <c r="AC49" s="5" t="n">
        <f aca="false">IF(F49="Right",S49,-1)</f>
        <v>5.44</v>
      </c>
      <c r="AD49" s="5" t="n">
        <f aca="false">IF(F49="Right",T49,-1)</f>
        <v>5.2</v>
      </c>
      <c r="AE49" s="5" t="n">
        <f aca="false">IF(F49="Right",U49,-1)</f>
        <v>5.9</v>
      </c>
      <c r="AF49" s="5" t="n">
        <f aca="false">V49</f>
        <v>4</v>
      </c>
      <c r="AG49" s="5" t="n">
        <f aca="false">W49</f>
        <v>5.3</v>
      </c>
      <c r="AH49" s="5" t="n">
        <f aca="false">X49</f>
        <v>5</v>
      </c>
      <c r="AI49" s="4" t="str">
        <f aca="false">INDEX($Z$1:$AH$1,MATCH(MAX(Z49:AH49),Z49:AH49,0))</f>
        <v>P</v>
      </c>
      <c r="AJ49" s="4" t="n">
        <f aca="false">MAX(Z49:AH49)</f>
        <v>6.15</v>
      </c>
      <c r="AK49" s="4" t="n">
        <f aca="false">SUMPRODUCT(($AI$2:$AI$73=AI49)*($AJ$2:$AJ$73&gt;AJ49))+SUMPRODUCT(($AI$2:$AI$73=AI49)*($AJ$2:$AJ$73=AJ49)*(ROW($AI$2:$AI$73)&lt;ROW(AI49)))+1</f>
        <v>11</v>
      </c>
      <c r="AL49" s="6" t="n">
        <f aca="false">SQRT((H49-'MLB Archetypes'!$C$2)^2+(I49-'MLB Archetypes'!$D$2)^2+(J49-'MLB Archetypes'!$E$2)^2+(K49-'MLB Archetypes'!$F$2)^2)</f>
        <v>5</v>
      </c>
      <c r="AM49" s="6" t="n">
        <f aca="false">SQRT((H49-'MLB Archetypes'!$C$3)^2+(I49-'MLB Archetypes'!$D$3)^2+(J49-'MLB Archetypes'!$E$3)^2+(K49-'MLB Archetypes'!$F$3)^2)</f>
        <v>3.74165738677394</v>
      </c>
      <c r="AN49" s="6" t="n">
        <f aca="false">SQRT((H49-'MLB Archetypes'!$C$4)^2+(I49-'MLB Archetypes'!$D$4)^2+(J49-'MLB Archetypes'!$E$4)^2+(K49-'MLB Archetypes'!$F$4)^2)</f>
        <v>6.32455532033676</v>
      </c>
      <c r="AO49" s="6" t="n">
        <f aca="false">SQRT((H49-'MLB Archetypes'!$C$5)^2+(I49-'MLB Archetypes'!$D$5)^2+(J49-'MLB Archetypes'!$E$5)^2+(K49-'MLB Archetypes'!$F$5)^2)</f>
        <v>5.19615242270663</v>
      </c>
      <c r="AP49" s="6" t="n">
        <f aca="false">SQRT((H49-'MLB Archetypes'!$C$6)^2+(I49-'MLB Archetypes'!$D$6)^2+(J49-'MLB Archetypes'!$E$6)^2+(K49-'MLB Archetypes'!$F$6)^2)</f>
        <v>7.54983443527075</v>
      </c>
      <c r="AQ49" s="6" t="n">
        <f aca="false">SQRT((H49-'MLB Archetypes'!$C$7)^2+(I49-'MLB Archetypes'!$D$7)^2+(J49-'MLB Archetypes'!$E$7)^2+(K49-'MLB Archetypes'!$F$7)^2)</f>
        <v>5.47722557505166</v>
      </c>
      <c r="AR49" s="6" t="n">
        <f aca="false">SQRT((H49-'MLB Archetypes'!$C$8)^2+(I49-'MLB Archetypes'!$D$8)^2+(J49-'MLB Archetypes'!$E$8)^2+(K49-'MLB Archetypes'!$F$8)^2)</f>
        <v>5.8309518948453</v>
      </c>
      <c r="AS49" s="6" t="n">
        <f aca="false">SQRT((H49-'MLB Archetypes'!$C$9)^2+(I49-'MLB Archetypes'!$D$9)^2+(J49-'MLB Archetypes'!$E$9)^2+(K49-'MLB Archetypes'!$F$9)^2)</f>
        <v>5.8309518948453</v>
      </c>
      <c r="AT49" s="6" t="n">
        <f aca="false">SQRT((H49-'MLB Archetypes'!$C$10)^2+(I49-'MLB Archetypes'!$D$10)^2+(J49-'MLB Archetypes'!$E$10)^2+(K49-'MLB Archetypes'!$F$10)^2)</f>
        <v>6.557438524302</v>
      </c>
      <c r="AU49" s="6" t="n">
        <f aca="false">SQRT((H49-'MLB Archetypes'!$C$11)^2+(I49-'MLB Archetypes'!$D$11)^2+(J49-'MLB Archetypes'!$E$11)^2+(K49-'MLB Archetypes'!$F$11)^2)</f>
        <v>7.34846922834953</v>
      </c>
      <c r="AV49" s="6" t="n">
        <f aca="false">SQRT((H49-'MLB Archetypes'!$C$12)^2+(I49-'MLB Archetypes'!$D$12)^2+(J49-'MLB Archetypes'!$E$12)^2+(K49-'MLB Archetypes'!$F$12)^2)</f>
        <v>5.3851648071345</v>
      </c>
      <c r="AW49" s="6" t="n">
        <f aca="false">SQRT((H49-'MLB Archetypes'!$C$13)^2+(I49-'MLB Archetypes'!$D$13)^2+(J49-'MLB Archetypes'!$E$13)^2+(K49-'MLB Archetypes'!$F$13)^2)</f>
        <v>6</v>
      </c>
      <c r="AX49" s="6" t="n">
        <f aca="false">SQRT((H49-'MLB Archetypes'!$C$14)^2+(I49-'MLB Archetypes'!$D$14)^2+(J49-'MLB Archetypes'!$E$14)^2+(K49-'MLB Archetypes'!$F$14)^2)</f>
        <v>7.28010988928052</v>
      </c>
      <c r="AY49" s="6" t="n">
        <f aca="false">SQRT((H49-'MLB Archetypes'!$C$15)^2+(I49-'MLB Archetypes'!$D$15)^2+(J49-'MLB Archetypes'!$E$15)^2+(K49-'MLB Archetypes'!$F$15)^2)</f>
        <v>7.34846922834953</v>
      </c>
      <c r="AZ49" s="6" t="n">
        <f aca="false">SQRT((H49-'MLB Archetypes'!$C$16)^2+(I49-'MLB Archetypes'!$D$16)^2+(J49-'MLB Archetypes'!$E$16)^2+(K49-'MLB Archetypes'!$F$16)^2)</f>
        <v>7.34846922834953</v>
      </c>
      <c r="BA49" s="6" t="n">
        <f aca="false">SQRT((H49-'MLB Archetypes'!$C$17)^2+(I49-'MLB Archetypes'!$D$17)^2+(J49-'MLB Archetypes'!$E$17)^2+(K49-'MLB Archetypes'!$F$17)^2)</f>
        <v>6.92820323027551</v>
      </c>
      <c r="BB49" s="6" t="n">
        <f aca="false">SQRT((H49-'MLB Archetypes'!$C$18)^2+(I49-'MLB Archetypes'!$D$18)^2+(J49-'MLB Archetypes'!$E$18)^2+(K49-'MLB Archetypes'!$F$18)^2)</f>
        <v>7.28010988928052</v>
      </c>
      <c r="BC49" s="6" t="n">
        <f aca="false">SQRT((H49-'MLB Archetypes'!$C$19)^2+(I49-'MLB Archetypes'!$D$19)^2+(J49-'MLB Archetypes'!$E$19)^2+(K49-'MLB Archetypes'!$F$19)^2)</f>
        <v>5.8309518948453</v>
      </c>
      <c r="BD49" s="4" t="str">
        <f aca="false">INDEX('MLB Archetypes'!$B$2:$B$19,MATCH(MIN(AL49:BC49),AL49:BC49,0))</f>
        <v>Greg Maddux</v>
      </c>
      <c r="BE49" s="7" t="n">
        <f aca="false">ROUND(10-MIN(AL49:BC49)/1.8,1)</f>
        <v>7.9</v>
      </c>
    </row>
    <row r="50" customFormat="false" ht="15" hidden="false" customHeight="false" outlineLevel="0" collapsed="false">
      <c r="A50" s="2" t="s">
        <v>116</v>
      </c>
      <c r="B50" s="2" t="s">
        <v>59</v>
      </c>
      <c r="C50" s="2" t="s">
        <v>116</v>
      </c>
      <c r="D50" s="2" t="s">
        <v>50</v>
      </c>
      <c r="E50" s="2" t="s">
        <v>50</v>
      </c>
      <c r="F50" s="2" t="s">
        <v>52</v>
      </c>
      <c r="G50" s="2" t="s">
        <v>57</v>
      </c>
      <c r="H50" s="3" t="n">
        <v>4</v>
      </c>
      <c r="I50" s="3" t="n">
        <v>4</v>
      </c>
      <c r="J50" s="3" t="n">
        <v>7</v>
      </c>
      <c r="K50" s="3" t="n">
        <v>5</v>
      </c>
      <c r="L50" s="4" t="n">
        <f aca="false">H50+I50+J50+K50</f>
        <v>20</v>
      </c>
      <c r="M50" s="4" t="n">
        <f aca="false">ROUND(0.75*I50+0.25*K50,2)</f>
        <v>4.25</v>
      </c>
      <c r="N50" s="4" t="n">
        <f aca="false">ROUND(0.7*J50+0.3*K50,2)</f>
        <v>6.4</v>
      </c>
      <c r="O50" s="4" t="n">
        <f aca="false">ROUND((H50+J50+K50)/3,2)</f>
        <v>5.33</v>
      </c>
      <c r="P50" s="4" t="n">
        <f aca="false">ROUND(0.85*H50+0.15*J50,2)</f>
        <v>4.45</v>
      </c>
      <c r="Q50" s="4" t="n">
        <f aca="false">ROUND(0.6*J50+0.3*I50+0.1*H50,2)</f>
        <v>5.8</v>
      </c>
      <c r="R50" s="4" t="n">
        <f aca="false">ROUND(0.7*I50+0.2*J50+0.1*K50,2)</f>
        <v>4.7</v>
      </c>
      <c r="S50" s="4" t="n">
        <f aca="false">ROUND(0.13*I50+0.35*J50+0.52*K50,2)</f>
        <v>5.57</v>
      </c>
      <c r="T50" s="4" t="n">
        <f aca="false">ROUND(0.4*I50+0.5*J50+0.1*K50,2)</f>
        <v>5.6</v>
      </c>
      <c r="U50" s="4" t="n">
        <f aca="false">ROUND(0.1*I50+0.55*J50+0.35*K50,2)</f>
        <v>6</v>
      </c>
      <c r="V50" s="4" t="n">
        <f aca="false">ROUND(0.6*I50+0.1*J50+0.3*K50,2)</f>
        <v>4.6</v>
      </c>
      <c r="W50" s="4" t="n">
        <f aca="false">ROUND(0.15*I50+0.3*J50+0.55*K50,2)</f>
        <v>5.45</v>
      </c>
      <c r="X50" s="4" t="n">
        <f aca="false">ROUND(0.46*I50+0.46*J50+0.08*K50,2)</f>
        <v>5.46</v>
      </c>
      <c r="Y50" s="4" t="str">
        <f aca="false">IF(H50=MAX(H50:K50),"Pitcher (arm-first)",IF(I50=MAX(H50:K50),"Bat-first (corner/1B/DH)",IF(J50=MAX(H50:K50),"Defense-first (up-the-middle)","Speed-first (CF/leadoff)")))</f>
        <v>Defense-first (up-the-middle)</v>
      </c>
      <c r="Z50" s="5" t="n">
        <f aca="false">P50</f>
        <v>4.45</v>
      </c>
      <c r="AA50" s="5" t="n">
        <f aca="false">IF(F50="Right",Q50,-1)</f>
        <v>5.8</v>
      </c>
      <c r="AB50" s="5" t="n">
        <f aca="false">R50</f>
        <v>4.7</v>
      </c>
      <c r="AC50" s="5" t="n">
        <f aca="false">IF(F50="Right",S50,-1)</f>
        <v>5.57</v>
      </c>
      <c r="AD50" s="5" t="n">
        <f aca="false">IF(F50="Right",T50,-1)</f>
        <v>5.6</v>
      </c>
      <c r="AE50" s="5" t="n">
        <f aca="false">IF(F50="Right",U50,-1)</f>
        <v>6</v>
      </c>
      <c r="AF50" s="5" t="n">
        <f aca="false">V50</f>
        <v>4.6</v>
      </c>
      <c r="AG50" s="5" t="n">
        <f aca="false">W50</f>
        <v>5.45</v>
      </c>
      <c r="AH50" s="5" t="n">
        <f aca="false">X50</f>
        <v>5.46</v>
      </c>
      <c r="AI50" s="4" t="str">
        <f aca="false">INDEX($Z$1:$AH$1,MATCH(MAX(Z50:AH50),Z50:AH50,0))</f>
        <v>SS</v>
      </c>
      <c r="AJ50" s="4" t="n">
        <f aca="false">MAX(Z50:AH50)</f>
        <v>6</v>
      </c>
      <c r="AK50" s="4" t="n">
        <f aca="false">SUMPRODUCT(($AI$2:$AI$73=AI50)*($AJ$2:$AJ$73&gt;AJ50))+SUMPRODUCT(($AI$2:$AI$73=AI50)*($AJ$2:$AJ$73=AJ50)*(ROW($AI$2:$AI$73)&lt;ROW(AI50)))+1</f>
        <v>7</v>
      </c>
      <c r="AL50" s="6" t="n">
        <f aca="false">SQRT((H50-'MLB Archetypes'!$C$2)^2+(I50-'MLB Archetypes'!$D$2)^2+(J50-'MLB Archetypes'!$E$2)^2+(K50-'MLB Archetypes'!$F$2)^2)</f>
        <v>6.92820323027551</v>
      </c>
      <c r="AM50" s="6" t="n">
        <f aca="false">SQRT((H50-'MLB Archetypes'!$C$3)^2+(I50-'MLB Archetypes'!$D$3)^2+(J50-'MLB Archetypes'!$E$3)^2+(K50-'MLB Archetypes'!$F$3)^2)</f>
        <v>5.56776436283002</v>
      </c>
      <c r="AN50" s="6" t="n">
        <f aca="false">SQRT((H50-'MLB Archetypes'!$C$4)^2+(I50-'MLB Archetypes'!$D$4)^2+(J50-'MLB Archetypes'!$E$4)^2+(K50-'MLB Archetypes'!$F$4)^2)</f>
        <v>4.58257569495584</v>
      </c>
      <c r="AO50" s="6" t="n">
        <f aca="false">SQRT((H50-'MLB Archetypes'!$C$5)^2+(I50-'MLB Archetypes'!$D$5)^2+(J50-'MLB Archetypes'!$E$5)^2+(K50-'MLB Archetypes'!$F$5)^2)</f>
        <v>3.16227766016838</v>
      </c>
      <c r="AP50" s="6" t="n">
        <f aca="false">SQRT((H50-'MLB Archetypes'!$C$6)^2+(I50-'MLB Archetypes'!$D$6)^2+(J50-'MLB Archetypes'!$E$6)^2+(K50-'MLB Archetypes'!$F$6)^2)</f>
        <v>5.8309518948453</v>
      </c>
      <c r="AQ50" s="6" t="n">
        <f aca="false">SQRT((H50-'MLB Archetypes'!$C$7)^2+(I50-'MLB Archetypes'!$D$7)^2+(J50-'MLB Archetypes'!$E$7)^2+(K50-'MLB Archetypes'!$F$7)^2)</f>
        <v>3.60555127546399</v>
      </c>
      <c r="AR50" s="6" t="n">
        <f aca="false">SQRT((H50-'MLB Archetypes'!$C$8)^2+(I50-'MLB Archetypes'!$D$8)^2+(J50-'MLB Archetypes'!$E$8)^2+(K50-'MLB Archetypes'!$F$8)^2)</f>
        <v>4.12310562561766</v>
      </c>
      <c r="AS50" s="6" t="n">
        <f aca="false">SQRT((H50-'MLB Archetypes'!$C$9)^2+(I50-'MLB Archetypes'!$D$9)^2+(J50-'MLB Archetypes'!$E$9)^2+(K50-'MLB Archetypes'!$F$9)^2)</f>
        <v>3.87298334620742</v>
      </c>
      <c r="AT50" s="6" t="n">
        <f aca="false">SQRT((H50-'MLB Archetypes'!$C$10)^2+(I50-'MLB Archetypes'!$D$10)^2+(J50-'MLB Archetypes'!$E$10)^2+(K50-'MLB Archetypes'!$F$10)^2)</f>
        <v>4.69041575982343</v>
      </c>
      <c r="AU50" s="6" t="n">
        <f aca="false">SQRT((H50-'MLB Archetypes'!$C$11)^2+(I50-'MLB Archetypes'!$D$11)^2+(J50-'MLB Archetypes'!$E$11)^2+(K50-'MLB Archetypes'!$F$11)^2)</f>
        <v>5.56776436283002</v>
      </c>
      <c r="AV50" s="6" t="n">
        <f aca="false">SQRT((H50-'MLB Archetypes'!$C$12)^2+(I50-'MLB Archetypes'!$D$12)^2+(J50-'MLB Archetypes'!$E$12)^2+(K50-'MLB Archetypes'!$F$12)^2)</f>
        <v>4.24264068711929</v>
      </c>
      <c r="AW50" s="6" t="n">
        <f aca="false">SQRT((H50-'MLB Archetypes'!$C$13)^2+(I50-'MLB Archetypes'!$D$13)^2+(J50-'MLB Archetypes'!$E$13)^2+(K50-'MLB Archetypes'!$F$13)^2)</f>
        <v>4.12310562561766</v>
      </c>
      <c r="AX50" s="6" t="n">
        <f aca="false">SQRT((H50-'MLB Archetypes'!$C$14)^2+(I50-'MLB Archetypes'!$D$14)^2+(J50-'MLB Archetypes'!$E$14)^2+(K50-'MLB Archetypes'!$F$14)^2)</f>
        <v>5.47722557505166</v>
      </c>
      <c r="AY50" s="6" t="n">
        <f aca="false">SQRT((H50-'MLB Archetypes'!$C$15)^2+(I50-'MLB Archetypes'!$D$15)^2+(J50-'MLB Archetypes'!$E$15)^2+(K50-'MLB Archetypes'!$F$15)^2)</f>
        <v>6.08276253029822</v>
      </c>
      <c r="AZ50" s="6" t="n">
        <f aca="false">SQRT((H50-'MLB Archetypes'!$C$16)^2+(I50-'MLB Archetypes'!$D$16)^2+(J50-'MLB Archetypes'!$E$16)^2+(K50-'MLB Archetypes'!$F$16)^2)</f>
        <v>5.74456264653803</v>
      </c>
      <c r="BA50" s="6" t="n">
        <f aca="false">SQRT((H50-'MLB Archetypes'!$C$17)^2+(I50-'MLB Archetypes'!$D$17)^2+(J50-'MLB Archetypes'!$E$17)^2+(K50-'MLB Archetypes'!$F$17)^2)</f>
        <v>5.3851648071345</v>
      </c>
      <c r="BB50" s="6" t="n">
        <f aca="false">SQRT((H50-'MLB Archetypes'!$C$18)^2+(I50-'MLB Archetypes'!$D$18)^2+(J50-'MLB Archetypes'!$E$18)^2+(K50-'MLB Archetypes'!$F$18)^2)</f>
        <v>5.47722557505166</v>
      </c>
      <c r="BC50" s="6" t="n">
        <f aca="false">SQRT((H50-'MLB Archetypes'!$C$19)^2+(I50-'MLB Archetypes'!$D$19)^2+(J50-'MLB Archetypes'!$E$19)^2+(K50-'MLB Archetypes'!$F$19)^2)</f>
        <v>3.87298334620742</v>
      </c>
      <c r="BD50" s="4" t="str">
        <f aca="false">INDEX('MLB Archetypes'!$B$2:$B$19,MATCH(MIN(AL50:BC50),AL50:BC50,0))</f>
        <v>Ivan Rodriguez</v>
      </c>
      <c r="BE50" s="7" t="n">
        <f aca="false">ROUND(10-MIN(AL50:BC50)/1.8,1)</f>
        <v>8.2</v>
      </c>
    </row>
    <row r="51" customFormat="false" ht="15" hidden="false" customHeight="false" outlineLevel="0" collapsed="false">
      <c r="A51" s="2" t="s">
        <v>117</v>
      </c>
      <c r="B51" s="2" t="s">
        <v>59</v>
      </c>
      <c r="C51" s="2" t="s">
        <v>116</v>
      </c>
      <c r="D51" s="2" t="s">
        <v>51</v>
      </c>
      <c r="E51" s="2" t="s">
        <v>50</v>
      </c>
      <c r="F51" s="2" t="s">
        <v>52</v>
      </c>
      <c r="G51" s="2" t="s">
        <v>57</v>
      </c>
      <c r="H51" s="3" t="n">
        <v>3</v>
      </c>
      <c r="I51" s="3" t="n">
        <v>5</v>
      </c>
      <c r="J51" s="3" t="n">
        <v>7</v>
      </c>
      <c r="K51" s="3" t="n">
        <v>5</v>
      </c>
      <c r="L51" s="4" t="n">
        <f aca="false">H51+I51+J51+K51</f>
        <v>20</v>
      </c>
      <c r="M51" s="4" t="n">
        <f aca="false">ROUND(0.75*I51+0.25*K51,2)</f>
        <v>5</v>
      </c>
      <c r="N51" s="4" t="n">
        <f aca="false">ROUND(0.7*J51+0.3*K51,2)</f>
        <v>6.4</v>
      </c>
      <c r="O51" s="4" t="n">
        <f aca="false">ROUND((H51+J51+K51)/3,2)</f>
        <v>5</v>
      </c>
      <c r="P51" s="4" t="n">
        <f aca="false">ROUND(0.85*H51+0.15*J51,2)</f>
        <v>3.6</v>
      </c>
      <c r="Q51" s="4" t="n">
        <f aca="false">ROUND(0.6*J51+0.3*I51+0.1*H51,2)</f>
        <v>6</v>
      </c>
      <c r="R51" s="4" t="n">
        <f aca="false">ROUND(0.7*I51+0.2*J51+0.1*K51,2)</f>
        <v>5.4</v>
      </c>
      <c r="S51" s="4" t="n">
        <f aca="false">ROUND(0.13*I51+0.35*J51+0.52*K51,2)</f>
        <v>5.7</v>
      </c>
      <c r="T51" s="4" t="n">
        <f aca="false">ROUND(0.4*I51+0.5*J51+0.1*K51,2)</f>
        <v>6</v>
      </c>
      <c r="U51" s="4" t="n">
        <f aca="false">ROUND(0.1*I51+0.55*J51+0.35*K51,2)</f>
        <v>6.1</v>
      </c>
      <c r="V51" s="4" t="n">
        <f aca="false">ROUND(0.6*I51+0.1*J51+0.3*K51,2)</f>
        <v>5.2</v>
      </c>
      <c r="W51" s="4" t="n">
        <f aca="false">ROUND(0.15*I51+0.3*J51+0.55*K51,2)</f>
        <v>5.6</v>
      </c>
      <c r="X51" s="4" t="n">
        <f aca="false">ROUND(0.46*I51+0.46*J51+0.08*K51,2)</f>
        <v>5.92</v>
      </c>
      <c r="Y51" s="4" t="str">
        <f aca="false">IF(H51=MAX(H51:K51),"Pitcher (arm-first)",IF(I51=MAX(H51:K51),"Bat-first (corner/1B/DH)",IF(J51=MAX(H51:K51),"Defense-first (up-the-middle)","Speed-first (CF/leadoff)")))</f>
        <v>Defense-first (up-the-middle)</v>
      </c>
      <c r="Z51" s="5" t="n">
        <f aca="false">P51</f>
        <v>3.6</v>
      </c>
      <c r="AA51" s="5" t="n">
        <f aca="false">IF(F51="Right",Q51,-1)</f>
        <v>6</v>
      </c>
      <c r="AB51" s="5" t="n">
        <f aca="false">R51</f>
        <v>5.4</v>
      </c>
      <c r="AC51" s="5" t="n">
        <f aca="false">IF(F51="Right",S51,-1)</f>
        <v>5.7</v>
      </c>
      <c r="AD51" s="5" t="n">
        <f aca="false">IF(F51="Right",T51,-1)</f>
        <v>6</v>
      </c>
      <c r="AE51" s="5" t="n">
        <f aca="false">IF(F51="Right",U51,-1)</f>
        <v>6.1</v>
      </c>
      <c r="AF51" s="5" t="n">
        <f aca="false">V51</f>
        <v>5.2</v>
      </c>
      <c r="AG51" s="5" t="n">
        <f aca="false">W51</f>
        <v>5.6</v>
      </c>
      <c r="AH51" s="5" t="n">
        <f aca="false">X51</f>
        <v>5.92</v>
      </c>
      <c r="AI51" s="4" t="str">
        <f aca="false">INDEX($Z$1:$AH$1,MATCH(MAX(Z51:AH51),Z51:AH51,0))</f>
        <v>SS</v>
      </c>
      <c r="AJ51" s="4" t="n">
        <f aca="false">MAX(Z51:AH51)</f>
        <v>6.1</v>
      </c>
      <c r="AK51" s="4" t="n">
        <f aca="false">SUMPRODUCT(($AI$2:$AI$73=AI51)*($AJ$2:$AJ$73&gt;AJ51))+SUMPRODUCT(($AI$2:$AI$73=AI51)*($AJ$2:$AJ$73=AJ51)*(ROW($AI$2:$AI$73)&lt;ROW(AI51)))+1</f>
        <v>5</v>
      </c>
      <c r="AL51" s="6" t="n">
        <f aca="false">SQRT((H51-'MLB Archetypes'!$C$2)^2+(I51-'MLB Archetypes'!$D$2)^2+(J51-'MLB Archetypes'!$E$2)^2+(K51-'MLB Archetypes'!$F$2)^2)</f>
        <v>8.12403840463596</v>
      </c>
      <c r="AM51" s="6" t="n">
        <f aca="false">SQRT((H51-'MLB Archetypes'!$C$3)^2+(I51-'MLB Archetypes'!$D$3)^2+(J51-'MLB Archetypes'!$E$3)^2+(K51-'MLB Archetypes'!$F$3)^2)</f>
        <v>6.70820393249937</v>
      </c>
      <c r="AN51" s="6" t="n">
        <f aca="false">SQRT((H51-'MLB Archetypes'!$C$4)^2+(I51-'MLB Archetypes'!$D$4)^2+(J51-'MLB Archetypes'!$E$4)^2+(K51-'MLB Archetypes'!$F$4)^2)</f>
        <v>3.60555127546399</v>
      </c>
      <c r="AO51" s="6" t="n">
        <f aca="false">SQRT((H51-'MLB Archetypes'!$C$5)^2+(I51-'MLB Archetypes'!$D$5)^2+(J51-'MLB Archetypes'!$E$5)^2+(K51-'MLB Archetypes'!$F$5)^2)</f>
        <v>2</v>
      </c>
      <c r="AP51" s="6" t="n">
        <f aca="false">SQRT((H51-'MLB Archetypes'!$C$6)^2+(I51-'MLB Archetypes'!$D$6)^2+(J51-'MLB Archetypes'!$E$6)^2+(K51-'MLB Archetypes'!$F$6)^2)</f>
        <v>4.69041575982343</v>
      </c>
      <c r="AQ51" s="6" t="n">
        <f aca="false">SQRT((H51-'MLB Archetypes'!$C$7)^2+(I51-'MLB Archetypes'!$D$7)^2+(J51-'MLB Archetypes'!$E$7)^2+(K51-'MLB Archetypes'!$F$7)^2)</f>
        <v>2.64575131106459</v>
      </c>
      <c r="AR51" s="6" t="n">
        <f aca="false">SQRT((H51-'MLB Archetypes'!$C$8)^2+(I51-'MLB Archetypes'!$D$8)^2+(J51-'MLB Archetypes'!$E$8)^2+(K51-'MLB Archetypes'!$F$8)^2)</f>
        <v>3.3166247903554</v>
      </c>
      <c r="AS51" s="6" t="n">
        <f aca="false">SQRT((H51-'MLB Archetypes'!$C$9)^2+(I51-'MLB Archetypes'!$D$9)^2+(J51-'MLB Archetypes'!$E$9)^2+(K51-'MLB Archetypes'!$F$9)^2)</f>
        <v>2.64575131106459</v>
      </c>
      <c r="AT51" s="6" t="n">
        <f aca="false">SQRT((H51-'MLB Archetypes'!$C$10)^2+(I51-'MLB Archetypes'!$D$10)^2+(J51-'MLB Archetypes'!$E$10)^2+(K51-'MLB Archetypes'!$F$10)^2)</f>
        <v>3.46410161513775</v>
      </c>
      <c r="AU51" s="6" t="n">
        <f aca="false">SQRT((H51-'MLB Archetypes'!$C$11)^2+(I51-'MLB Archetypes'!$D$11)^2+(J51-'MLB Archetypes'!$E$11)^2+(K51-'MLB Archetypes'!$F$11)^2)</f>
        <v>4.35889894354067</v>
      </c>
      <c r="AV51" s="6" t="n">
        <f aca="false">SQRT((H51-'MLB Archetypes'!$C$12)^2+(I51-'MLB Archetypes'!$D$12)^2+(J51-'MLB Archetypes'!$E$12)^2+(K51-'MLB Archetypes'!$F$12)^2)</f>
        <v>4.24264068711929</v>
      </c>
      <c r="AW51" s="6" t="n">
        <f aca="false">SQRT((H51-'MLB Archetypes'!$C$13)^2+(I51-'MLB Archetypes'!$D$13)^2+(J51-'MLB Archetypes'!$E$13)^2+(K51-'MLB Archetypes'!$F$13)^2)</f>
        <v>3</v>
      </c>
      <c r="AX51" s="6" t="n">
        <f aca="false">SQRT((H51-'MLB Archetypes'!$C$14)^2+(I51-'MLB Archetypes'!$D$14)^2+(J51-'MLB Archetypes'!$E$14)^2+(K51-'MLB Archetypes'!$F$14)^2)</f>
        <v>4.24264068711929</v>
      </c>
      <c r="AY51" s="6" t="n">
        <f aca="false">SQRT((H51-'MLB Archetypes'!$C$15)^2+(I51-'MLB Archetypes'!$D$15)^2+(J51-'MLB Archetypes'!$E$15)^2+(K51-'MLB Archetypes'!$F$15)^2)</f>
        <v>5.56776436283002</v>
      </c>
      <c r="AZ51" s="6" t="n">
        <f aca="false">SQRT((H51-'MLB Archetypes'!$C$16)^2+(I51-'MLB Archetypes'!$D$16)^2+(J51-'MLB Archetypes'!$E$16)^2+(K51-'MLB Archetypes'!$F$16)^2)</f>
        <v>4.79583152331272</v>
      </c>
      <c r="BA51" s="6" t="n">
        <f aca="false">SQRT((H51-'MLB Archetypes'!$C$17)^2+(I51-'MLB Archetypes'!$D$17)^2+(J51-'MLB Archetypes'!$E$17)^2+(K51-'MLB Archetypes'!$F$17)^2)</f>
        <v>4.58257569495584</v>
      </c>
      <c r="BB51" s="6" t="n">
        <f aca="false">SQRT((H51-'MLB Archetypes'!$C$18)^2+(I51-'MLB Archetypes'!$D$18)^2+(J51-'MLB Archetypes'!$E$18)^2+(K51-'MLB Archetypes'!$F$18)^2)</f>
        <v>4.24264068711929</v>
      </c>
      <c r="BC51" s="6" t="n">
        <f aca="false">SQRT((H51-'MLB Archetypes'!$C$19)^2+(I51-'MLB Archetypes'!$D$19)^2+(J51-'MLB Archetypes'!$E$19)^2+(K51-'MLB Archetypes'!$F$19)^2)</f>
        <v>2.64575131106459</v>
      </c>
      <c r="BD51" s="4" t="str">
        <f aca="false">INDEX('MLB Archetypes'!$B$2:$B$19,MATCH(MIN(AL51:BC51),AL51:BC51,0))</f>
        <v>Ivan Rodriguez</v>
      </c>
      <c r="BE51" s="7" t="n">
        <f aca="false">ROUND(10-MIN(AL51:BC51)/1.8,1)</f>
        <v>8.9</v>
      </c>
    </row>
    <row r="52" customFormat="false" ht="15" hidden="false" customHeight="false" outlineLevel="0" collapsed="false">
      <c r="A52" s="2" t="s">
        <v>118</v>
      </c>
      <c r="B52" s="2" t="s">
        <v>59</v>
      </c>
      <c r="C52" s="2" t="s">
        <v>118</v>
      </c>
      <c r="D52" s="2" t="s">
        <v>50</v>
      </c>
      <c r="E52" s="2" t="s">
        <v>50</v>
      </c>
      <c r="F52" s="2" t="s">
        <v>57</v>
      </c>
      <c r="G52" s="2" t="s">
        <v>57</v>
      </c>
      <c r="H52" s="3" t="n">
        <v>9</v>
      </c>
      <c r="I52" s="3" t="n">
        <v>3</v>
      </c>
      <c r="J52" s="3" t="n">
        <v>3</v>
      </c>
      <c r="K52" s="3" t="n">
        <v>5</v>
      </c>
      <c r="L52" s="4" t="n">
        <f aca="false">H52+I52+J52+K52</f>
        <v>20</v>
      </c>
      <c r="M52" s="4" t="n">
        <f aca="false">ROUND(0.75*I52+0.25*K52,2)</f>
        <v>3.5</v>
      </c>
      <c r="N52" s="4" t="n">
        <f aca="false">ROUND(0.7*J52+0.3*K52,2)</f>
        <v>3.6</v>
      </c>
      <c r="O52" s="4" t="n">
        <f aca="false">ROUND((H52+J52+K52)/3,2)</f>
        <v>5.67</v>
      </c>
      <c r="P52" s="4" t="n">
        <f aca="false">ROUND(0.85*H52+0.15*J52,2)</f>
        <v>8.1</v>
      </c>
      <c r="Q52" s="4" t="n">
        <f aca="false">ROUND(0.6*J52+0.3*I52+0.1*H52,2)</f>
        <v>3.6</v>
      </c>
      <c r="R52" s="4" t="n">
        <f aca="false">ROUND(0.7*I52+0.2*J52+0.1*K52,2)</f>
        <v>3.2</v>
      </c>
      <c r="S52" s="4" t="n">
        <f aca="false">ROUND(0.13*I52+0.35*J52+0.52*K52,2)</f>
        <v>4.04</v>
      </c>
      <c r="T52" s="4" t="n">
        <f aca="false">ROUND(0.4*I52+0.5*J52+0.1*K52,2)</f>
        <v>3.2</v>
      </c>
      <c r="U52" s="4" t="n">
        <f aca="false">ROUND(0.1*I52+0.55*J52+0.35*K52,2)</f>
        <v>3.7</v>
      </c>
      <c r="V52" s="4" t="n">
        <f aca="false">ROUND(0.6*I52+0.1*J52+0.3*K52,2)</f>
        <v>3.6</v>
      </c>
      <c r="W52" s="4" t="n">
        <f aca="false">ROUND(0.15*I52+0.3*J52+0.55*K52,2)</f>
        <v>4.1</v>
      </c>
      <c r="X52" s="4" t="n">
        <f aca="false">ROUND(0.46*I52+0.46*J52+0.08*K52,2)</f>
        <v>3.16</v>
      </c>
      <c r="Y52" s="4" t="str">
        <f aca="false">IF(H52=MAX(H52:K52),"Pitcher (arm-first)",IF(I52=MAX(H52:K52),"Bat-first (corner/1B/DH)",IF(J52=MAX(H52:K52),"Defense-first (up-the-middle)","Speed-first (CF/leadoff)")))</f>
        <v>Pitcher (arm-first)</v>
      </c>
      <c r="Z52" s="5" t="n">
        <f aca="false">P52</f>
        <v>8.1</v>
      </c>
      <c r="AA52" s="5" t="n">
        <f aca="false">IF(F52="Right",Q52,-1)</f>
        <v>-1</v>
      </c>
      <c r="AB52" s="5" t="n">
        <f aca="false">R52</f>
        <v>3.2</v>
      </c>
      <c r="AC52" s="5" t="n">
        <f aca="false">IF(F52="Right",S52,-1)</f>
        <v>-1</v>
      </c>
      <c r="AD52" s="5" t="n">
        <f aca="false">IF(F52="Right",T52,-1)</f>
        <v>-1</v>
      </c>
      <c r="AE52" s="5" t="n">
        <f aca="false">IF(F52="Right",U52,-1)</f>
        <v>-1</v>
      </c>
      <c r="AF52" s="5" t="n">
        <f aca="false">V52</f>
        <v>3.6</v>
      </c>
      <c r="AG52" s="5" t="n">
        <f aca="false">W52</f>
        <v>4.1</v>
      </c>
      <c r="AH52" s="5" t="n">
        <f aca="false">X52</f>
        <v>3.16</v>
      </c>
      <c r="AI52" s="4" t="str">
        <f aca="false">INDEX($Z$1:$AH$1,MATCH(MAX(Z52:AH52),Z52:AH52,0))</f>
        <v>P</v>
      </c>
      <c r="AJ52" s="4" t="n">
        <f aca="false">MAX(Z52:AH52)</f>
        <v>8.1</v>
      </c>
      <c r="AK52" s="4" t="n">
        <f aca="false">SUMPRODUCT(($AI$2:$AI$73=AI52)*($AJ$2:$AJ$73&gt;AJ52))+SUMPRODUCT(($AI$2:$AI$73=AI52)*($AJ$2:$AJ$73=AJ52)*(ROW($AI$2:$AI$73)&lt;ROW(AI52)))+1</f>
        <v>2</v>
      </c>
      <c r="AL52" s="6" t="n">
        <f aca="false">SQRT((H52-'MLB Archetypes'!$C$2)^2+(I52-'MLB Archetypes'!$D$2)^2+(J52-'MLB Archetypes'!$E$2)^2+(K52-'MLB Archetypes'!$F$2)^2)</f>
        <v>3.16227766016838</v>
      </c>
      <c r="AM52" s="6" t="n">
        <f aca="false">SQRT((H52-'MLB Archetypes'!$C$3)^2+(I52-'MLB Archetypes'!$D$3)^2+(J52-'MLB Archetypes'!$E$3)^2+(K52-'MLB Archetypes'!$F$3)^2)</f>
        <v>3.60555127546399</v>
      </c>
      <c r="AN52" s="6" t="n">
        <f aca="false">SQRT((H52-'MLB Archetypes'!$C$4)^2+(I52-'MLB Archetypes'!$D$4)^2+(J52-'MLB Archetypes'!$E$4)^2+(K52-'MLB Archetypes'!$F$4)^2)</f>
        <v>10.2469507659596</v>
      </c>
      <c r="AO52" s="6" t="n">
        <f aca="false">SQRT((H52-'MLB Archetypes'!$C$5)^2+(I52-'MLB Archetypes'!$D$5)^2+(J52-'MLB Archetypes'!$E$5)^2+(K52-'MLB Archetypes'!$F$5)^2)</f>
        <v>9.16515138991168</v>
      </c>
      <c r="AP52" s="6" t="n">
        <f aca="false">SQRT((H52-'MLB Archetypes'!$C$6)^2+(I52-'MLB Archetypes'!$D$6)^2+(J52-'MLB Archetypes'!$E$6)^2+(K52-'MLB Archetypes'!$F$6)^2)</f>
        <v>9.89949493661167</v>
      </c>
      <c r="AQ52" s="6" t="n">
        <f aca="false">SQRT((H52-'MLB Archetypes'!$C$7)^2+(I52-'MLB Archetypes'!$D$7)^2+(J52-'MLB Archetypes'!$E$7)^2+(K52-'MLB Archetypes'!$F$7)^2)</f>
        <v>9.74679434480896</v>
      </c>
      <c r="AR52" s="6" t="n">
        <f aca="false">SQRT((H52-'MLB Archetypes'!$C$8)^2+(I52-'MLB Archetypes'!$D$8)^2+(J52-'MLB Archetypes'!$E$8)^2+(K52-'MLB Archetypes'!$F$8)^2)</f>
        <v>9.1104335791443</v>
      </c>
      <c r="AS52" s="6" t="n">
        <f aca="false">SQRT((H52-'MLB Archetypes'!$C$9)^2+(I52-'MLB Archetypes'!$D$9)^2+(J52-'MLB Archetypes'!$E$9)^2+(K52-'MLB Archetypes'!$F$9)^2)</f>
        <v>9.53939201416946</v>
      </c>
      <c r="AT52" s="6" t="n">
        <f aca="false">SQRT((H52-'MLB Archetypes'!$C$10)^2+(I52-'MLB Archetypes'!$D$10)^2+(J52-'MLB Archetypes'!$E$10)^2+(K52-'MLB Archetypes'!$F$10)^2)</f>
        <v>10</v>
      </c>
      <c r="AU52" s="6" t="n">
        <f aca="false">SQRT((H52-'MLB Archetypes'!$C$11)^2+(I52-'MLB Archetypes'!$D$11)^2+(J52-'MLB Archetypes'!$E$11)^2+(K52-'MLB Archetypes'!$F$11)^2)</f>
        <v>9.74679434480896</v>
      </c>
      <c r="AV52" s="6" t="n">
        <f aca="false">SQRT((H52-'MLB Archetypes'!$C$12)^2+(I52-'MLB Archetypes'!$D$12)^2+(J52-'MLB Archetypes'!$E$12)^2+(K52-'MLB Archetypes'!$F$12)^2)</f>
        <v>10.0995049383621</v>
      </c>
      <c r="AW52" s="6" t="n">
        <f aca="false">SQRT((H52-'MLB Archetypes'!$C$13)^2+(I52-'MLB Archetypes'!$D$13)^2+(J52-'MLB Archetypes'!$E$13)^2+(K52-'MLB Archetypes'!$F$13)^2)</f>
        <v>9.21954445729289</v>
      </c>
      <c r="AX52" s="6" t="n">
        <f aca="false">SQRT((H52-'MLB Archetypes'!$C$14)^2+(I52-'MLB Archetypes'!$D$14)^2+(J52-'MLB Archetypes'!$E$14)^2+(K52-'MLB Archetypes'!$F$14)^2)</f>
        <v>9.69535971483266</v>
      </c>
      <c r="AY52" s="6" t="n">
        <f aca="false">SQRT((H52-'MLB Archetypes'!$C$15)^2+(I52-'MLB Archetypes'!$D$15)^2+(J52-'MLB Archetypes'!$E$15)^2+(K52-'MLB Archetypes'!$F$15)^2)</f>
        <v>9.32737905308882</v>
      </c>
      <c r="AZ52" s="6" t="n">
        <f aca="false">SQRT((H52-'MLB Archetypes'!$C$16)^2+(I52-'MLB Archetypes'!$D$16)^2+(J52-'MLB Archetypes'!$E$16)^2+(K52-'MLB Archetypes'!$F$16)^2)</f>
        <v>10.9087121146357</v>
      </c>
      <c r="BA52" s="6" t="n">
        <f aca="false">SQRT((H52-'MLB Archetypes'!$C$17)^2+(I52-'MLB Archetypes'!$D$17)^2+(J52-'MLB Archetypes'!$E$17)^2+(K52-'MLB Archetypes'!$F$17)^2)</f>
        <v>9.8488578017961</v>
      </c>
      <c r="BB52" s="6" t="n">
        <f aca="false">SQRT((H52-'MLB Archetypes'!$C$18)^2+(I52-'MLB Archetypes'!$D$18)^2+(J52-'MLB Archetypes'!$E$18)^2+(K52-'MLB Archetypes'!$F$18)^2)</f>
        <v>9.69535971483266</v>
      </c>
      <c r="BC52" s="6" t="n">
        <f aca="false">SQRT((H52-'MLB Archetypes'!$C$19)^2+(I52-'MLB Archetypes'!$D$19)^2+(J52-'MLB Archetypes'!$E$19)^2+(K52-'MLB Archetypes'!$F$19)^2)</f>
        <v>9.53939201416946</v>
      </c>
      <c r="BD52" s="4" t="str">
        <f aca="false">INDEX('MLB Archetypes'!$B$2:$B$19,MATCH(MIN(AL52:BC52),AL52:BC52,0))</f>
        <v>Nolan Ryan</v>
      </c>
      <c r="BE52" s="7" t="n">
        <f aca="false">ROUND(10-MIN(AL52:BC52)/1.8,1)</f>
        <v>8.2</v>
      </c>
    </row>
    <row r="53" customFormat="false" ht="15" hidden="false" customHeight="false" outlineLevel="0" collapsed="false">
      <c r="A53" s="2" t="s">
        <v>119</v>
      </c>
      <c r="B53" s="2" t="s">
        <v>59</v>
      </c>
      <c r="C53" s="2" t="s">
        <v>119</v>
      </c>
      <c r="D53" s="2" t="s">
        <v>50</v>
      </c>
      <c r="E53" s="2" t="s">
        <v>50</v>
      </c>
      <c r="F53" s="2" t="s">
        <v>52</v>
      </c>
      <c r="G53" s="2" t="s">
        <v>52</v>
      </c>
      <c r="H53" s="3" t="n">
        <v>7</v>
      </c>
      <c r="I53" s="3" t="n">
        <v>7</v>
      </c>
      <c r="J53" s="3" t="n">
        <v>3</v>
      </c>
      <c r="K53" s="3" t="n">
        <v>4</v>
      </c>
      <c r="L53" s="4" t="n">
        <f aca="false">H53+I53+J53+K53</f>
        <v>21</v>
      </c>
      <c r="M53" s="4" t="n">
        <f aca="false">ROUND(0.75*I53+0.25*K53,2)</f>
        <v>6.25</v>
      </c>
      <c r="N53" s="4" t="n">
        <f aca="false">ROUND(0.7*J53+0.3*K53,2)</f>
        <v>3.3</v>
      </c>
      <c r="O53" s="4" t="n">
        <f aca="false">ROUND((H53+J53+K53)/3,2)</f>
        <v>4.67</v>
      </c>
      <c r="P53" s="4" t="n">
        <f aca="false">ROUND(0.85*H53+0.15*J53,2)</f>
        <v>6.4</v>
      </c>
      <c r="Q53" s="4" t="n">
        <f aca="false">ROUND(0.6*J53+0.3*I53+0.1*H53,2)</f>
        <v>4.6</v>
      </c>
      <c r="R53" s="4" t="n">
        <f aca="false">ROUND(0.7*I53+0.2*J53+0.1*K53,2)</f>
        <v>5.9</v>
      </c>
      <c r="S53" s="4" t="n">
        <f aca="false">ROUND(0.13*I53+0.35*J53+0.52*K53,2)</f>
        <v>4.04</v>
      </c>
      <c r="T53" s="4" t="n">
        <f aca="false">ROUND(0.4*I53+0.5*J53+0.1*K53,2)</f>
        <v>4.7</v>
      </c>
      <c r="U53" s="4" t="n">
        <f aca="false">ROUND(0.1*I53+0.55*J53+0.35*K53,2)</f>
        <v>3.75</v>
      </c>
      <c r="V53" s="4" t="n">
        <f aca="false">ROUND(0.6*I53+0.1*J53+0.3*K53,2)</f>
        <v>5.7</v>
      </c>
      <c r="W53" s="4" t="n">
        <f aca="false">ROUND(0.15*I53+0.3*J53+0.55*K53,2)</f>
        <v>4.15</v>
      </c>
      <c r="X53" s="4" t="n">
        <f aca="false">ROUND(0.46*I53+0.46*J53+0.08*K53,2)</f>
        <v>4.92</v>
      </c>
      <c r="Y53" s="4" t="str">
        <f aca="false">IF(H53=MAX(H53:K53),"Pitcher (arm-first)",IF(I53=MAX(H53:K53),"Bat-first (corner/1B/DH)",IF(J53=MAX(H53:K53),"Defense-first (up-the-middle)","Speed-first (CF/leadoff)")))</f>
        <v>Pitcher (arm-first)</v>
      </c>
      <c r="Z53" s="5" t="n">
        <f aca="false">P53</f>
        <v>6.4</v>
      </c>
      <c r="AA53" s="5" t="n">
        <f aca="false">IF(F53="Right",Q53,-1)</f>
        <v>4.6</v>
      </c>
      <c r="AB53" s="5" t="n">
        <f aca="false">R53</f>
        <v>5.9</v>
      </c>
      <c r="AC53" s="5" t="n">
        <f aca="false">IF(F53="Right",S53,-1)</f>
        <v>4.04</v>
      </c>
      <c r="AD53" s="5" t="n">
        <f aca="false">IF(F53="Right",T53,-1)</f>
        <v>4.7</v>
      </c>
      <c r="AE53" s="5" t="n">
        <f aca="false">IF(F53="Right",U53,-1)</f>
        <v>3.75</v>
      </c>
      <c r="AF53" s="5" t="n">
        <f aca="false">V53</f>
        <v>5.7</v>
      </c>
      <c r="AG53" s="5" t="n">
        <f aca="false">W53</f>
        <v>4.15</v>
      </c>
      <c r="AH53" s="5" t="n">
        <f aca="false">X53</f>
        <v>4.92</v>
      </c>
      <c r="AI53" s="4" t="str">
        <f aca="false">INDEX($Z$1:$AH$1,MATCH(MAX(Z53:AH53),Z53:AH53,0))</f>
        <v>P</v>
      </c>
      <c r="AJ53" s="4" t="n">
        <f aca="false">MAX(Z53:AH53)</f>
        <v>6.4</v>
      </c>
      <c r="AK53" s="4" t="n">
        <f aca="false">SUMPRODUCT(($AI$2:$AI$73=AI53)*($AJ$2:$AJ$73&gt;AJ53))+SUMPRODUCT(($AI$2:$AI$73=AI53)*($AJ$2:$AJ$73=AJ53)*(ROW($AI$2:$AI$73)&lt;ROW(AI53)))+1</f>
        <v>10</v>
      </c>
      <c r="AL53" s="6" t="n">
        <f aca="false">SQRT((H53-'MLB Archetypes'!$C$2)^2+(I53-'MLB Archetypes'!$D$2)^2+(J53-'MLB Archetypes'!$E$2)^2+(K53-'MLB Archetypes'!$F$2)^2)</f>
        <v>6.2449979983984</v>
      </c>
      <c r="AM53" s="6" t="n">
        <f aca="false">SQRT((H53-'MLB Archetypes'!$C$3)^2+(I53-'MLB Archetypes'!$D$3)^2+(J53-'MLB Archetypes'!$E$3)^2+(K53-'MLB Archetypes'!$F$3)^2)</f>
        <v>5.47722557505166</v>
      </c>
      <c r="AN53" s="6" t="n">
        <f aca="false">SQRT((H53-'MLB Archetypes'!$C$4)^2+(I53-'MLB Archetypes'!$D$4)^2+(J53-'MLB Archetypes'!$E$4)^2+(K53-'MLB Archetypes'!$F$4)^2)</f>
        <v>7.87400787401181</v>
      </c>
      <c r="AO53" s="6" t="n">
        <f aca="false">SQRT((H53-'MLB Archetypes'!$C$5)^2+(I53-'MLB Archetypes'!$D$5)^2+(J53-'MLB Archetypes'!$E$5)^2+(K53-'MLB Archetypes'!$F$5)^2)</f>
        <v>7.14142842854285</v>
      </c>
      <c r="AP53" s="6" t="n">
        <f aca="false">SQRT((H53-'MLB Archetypes'!$C$6)^2+(I53-'MLB Archetypes'!$D$6)^2+(J53-'MLB Archetypes'!$E$6)^2+(K53-'MLB Archetypes'!$F$6)^2)</f>
        <v>6.2449979983984</v>
      </c>
      <c r="AQ53" s="6" t="n">
        <f aca="false">SQRT((H53-'MLB Archetypes'!$C$7)^2+(I53-'MLB Archetypes'!$D$7)^2+(J53-'MLB Archetypes'!$E$7)^2+(K53-'MLB Archetypes'!$F$7)^2)</f>
        <v>7.87400787401181</v>
      </c>
      <c r="AR53" s="6" t="n">
        <f aca="false">SQRT((H53-'MLB Archetypes'!$C$8)^2+(I53-'MLB Archetypes'!$D$8)^2+(J53-'MLB Archetypes'!$E$8)^2+(K53-'MLB Archetypes'!$F$8)^2)</f>
        <v>7.61577310586391</v>
      </c>
      <c r="AS53" s="6" t="n">
        <f aca="false">SQRT((H53-'MLB Archetypes'!$C$9)^2+(I53-'MLB Archetypes'!$D$9)^2+(J53-'MLB Archetypes'!$E$9)^2+(K53-'MLB Archetypes'!$F$9)^2)</f>
        <v>7.34846922834953</v>
      </c>
      <c r="AT53" s="6" t="n">
        <f aca="false">SQRT((H53-'MLB Archetypes'!$C$10)^2+(I53-'MLB Archetypes'!$D$10)^2+(J53-'MLB Archetypes'!$E$10)^2+(K53-'MLB Archetypes'!$F$10)^2)</f>
        <v>7.14142842854285</v>
      </c>
      <c r="AU53" s="6" t="n">
        <f aca="false">SQRT((H53-'MLB Archetypes'!$C$11)^2+(I53-'MLB Archetypes'!$D$11)^2+(J53-'MLB Archetypes'!$E$11)^2+(K53-'MLB Archetypes'!$F$11)^2)</f>
        <v>6.16441400296898</v>
      </c>
      <c r="AV53" s="6" t="n">
        <f aca="false">SQRT((H53-'MLB Archetypes'!$C$12)^2+(I53-'MLB Archetypes'!$D$12)^2+(J53-'MLB Archetypes'!$E$12)^2+(K53-'MLB Archetypes'!$F$12)^2)</f>
        <v>9.9498743710662</v>
      </c>
      <c r="AW53" s="6" t="n">
        <f aca="false">SQRT((H53-'MLB Archetypes'!$C$13)^2+(I53-'MLB Archetypes'!$D$13)^2+(J53-'MLB Archetypes'!$E$13)^2+(K53-'MLB Archetypes'!$F$13)^2)</f>
        <v>6.48074069840786</v>
      </c>
      <c r="AX53" s="6" t="n">
        <f aca="false">SQRT((H53-'MLB Archetypes'!$C$14)^2+(I53-'MLB Archetypes'!$D$14)^2+(J53-'MLB Archetypes'!$E$14)^2+(K53-'MLB Archetypes'!$F$14)^2)</f>
        <v>6.2449979983984</v>
      </c>
      <c r="AY53" s="6" t="n">
        <f aca="false">SQRT((H53-'MLB Archetypes'!$C$15)^2+(I53-'MLB Archetypes'!$D$15)^2+(J53-'MLB Archetypes'!$E$15)^2+(K53-'MLB Archetypes'!$F$15)^2)</f>
        <v>8.12403840463596</v>
      </c>
      <c r="AZ53" s="6" t="n">
        <f aca="false">SQRT((H53-'MLB Archetypes'!$C$16)^2+(I53-'MLB Archetypes'!$D$16)^2+(J53-'MLB Archetypes'!$E$16)^2+(K53-'MLB Archetypes'!$F$16)^2)</f>
        <v>8.83176086632785</v>
      </c>
      <c r="BA53" s="6" t="n">
        <f aca="false">SQRT((H53-'MLB Archetypes'!$C$17)^2+(I53-'MLB Archetypes'!$D$17)^2+(J53-'MLB Archetypes'!$E$17)^2+(K53-'MLB Archetypes'!$F$17)^2)</f>
        <v>8.12403840463596</v>
      </c>
      <c r="BB53" s="6" t="n">
        <f aca="false">SQRT((H53-'MLB Archetypes'!$C$18)^2+(I53-'MLB Archetypes'!$D$18)^2+(J53-'MLB Archetypes'!$E$18)^2+(K53-'MLB Archetypes'!$F$18)^2)</f>
        <v>6.2449979983984</v>
      </c>
      <c r="BC53" s="6" t="n">
        <f aca="false">SQRT((H53-'MLB Archetypes'!$C$19)^2+(I53-'MLB Archetypes'!$D$19)^2+(J53-'MLB Archetypes'!$E$19)^2+(K53-'MLB Archetypes'!$F$19)^2)</f>
        <v>7.34846922834953</v>
      </c>
      <c r="BD53" s="4" t="str">
        <f aca="false">INDEX('MLB Archetypes'!$B$2:$B$19,MATCH(MIN(AL53:BC53),AL53:BC53,0))</f>
        <v>Greg Maddux</v>
      </c>
      <c r="BE53" s="7" t="n">
        <f aca="false">ROUND(10-MIN(AL53:BC53)/1.8,1)</f>
        <v>7</v>
      </c>
    </row>
    <row r="54" customFormat="false" ht="15" hidden="false" customHeight="false" outlineLevel="0" collapsed="false">
      <c r="A54" s="2" t="s">
        <v>120</v>
      </c>
      <c r="B54" s="2" t="s">
        <v>61</v>
      </c>
      <c r="C54" s="2" t="s">
        <v>120</v>
      </c>
      <c r="D54" s="2" t="s">
        <v>50</v>
      </c>
      <c r="E54" s="2" t="s">
        <v>50</v>
      </c>
      <c r="F54" s="2" t="s">
        <v>52</v>
      </c>
      <c r="G54" s="2" t="s">
        <v>57</v>
      </c>
      <c r="H54" s="3" t="n">
        <v>3</v>
      </c>
      <c r="I54" s="3" t="n">
        <v>3</v>
      </c>
      <c r="J54" s="3" t="n">
        <v>8</v>
      </c>
      <c r="K54" s="3" t="n">
        <v>7</v>
      </c>
      <c r="L54" s="4" t="n">
        <f aca="false">H54+I54+J54+K54</f>
        <v>21</v>
      </c>
      <c r="M54" s="4" t="n">
        <f aca="false">ROUND(0.75*I54+0.25*K54,2)</f>
        <v>4</v>
      </c>
      <c r="N54" s="4" t="n">
        <f aca="false">ROUND(0.7*J54+0.3*K54,2)</f>
        <v>7.7</v>
      </c>
      <c r="O54" s="4" t="n">
        <f aca="false">ROUND((H54+J54+K54)/3,2)</f>
        <v>6</v>
      </c>
      <c r="P54" s="4" t="n">
        <f aca="false">ROUND(0.85*H54+0.15*J54,2)</f>
        <v>3.75</v>
      </c>
      <c r="Q54" s="4" t="n">
        <f aca="false">ROUND(0.6*J54+0.3*I54+0.1*H54,2)</f>
        <v>6</v>
      </c>
      <c r="R54" s="4" t="n">
        <f aca="false">ROUND(0.7*I54+0.2*J54+0.1*K54,2)</f>
        <v>4.4</v>
      </c>
      <c r="S54" s="4" t="n">
        <f aca="false">ROUND(0.13*I54+0.35*J54+0.52*K54,2)</f>
        <v>6.83</v>
      </c>
      <c r="T54" s="4" t="n">
        <f aca="false">ROUND(0.4*I54+0.5*J54+0.1*K54,2)</f>
        <v>5.9</v>
      </c>
      <c r="U54" s="4" t="n">
        <f aca="false">ROUND(0.1*I54+0.55*J54+0.35*K54,2)</f>
        <v>7.15</v>
      </c>
      <c r="V54" s="4" t="n">
        <f aca="false">ROUND(0.6*I54+0.1*J54+0.3*K54,2)</f>
        <v>4.7</v>
      </c>
      <c r="W54" s="4" t="n">
        <f aca="false">ROUND(0.15*I54+0.3*J54+0.55*K54,2)</f>
        <v>6.7</v>
      </c>
      <c r="X54" s="4" t="n">
        <f aca="false">ROUND(0.46*I54+0.46*J54+0.08*K54,2)</f>
        <v>5.62</v>
      </c>
      <c r="Y54" s="4" t="str">
        <f aca="false">IF(H54=MAX(H54:K54),"Pitcher (arm-first)",IF(I54=MAX(H54:K54),"Bat-first (corner/1B/DH)",IF(J54=MAX(H54:K54),"Defense-first (up-the-middle)","Speed-first (CF/leadoff)")))</f>
        <v>Defense-first (up-the-middle)</v>
      </c>
      <c r="Z54" s="5" t="n">
        <f aca="false">P54</f>
        <v>3.75</v>
      </c>
      <c r="AA54" s="5" t="n">
        <f aca="false">IF(F54="Right",Q54,-1)</f>
        <v>6</v>
      </c>
      <c r="AB54" s="5" t="n">
        <f aca="false">R54</f>
        <v>4.4</v>
      </c>
      <c r="AC54" s="5" t="n">
        <f aca="false">IF(F54="Right",S54,-1)</f>
        <v>6.83</v>
      </c>
      <c r="AD54" s="5" t="n">
        <f aca="false">IF(F54="Right",T54,-1)</f>
        <v>5.9</v>
      </c>
      <c r="AE54" s="5" t="n">
        <f aca="false">IF(F54="Right",U54,-1)</f>
        <v>7.15</v>
      </c>
      <c r="AF54" s="5" t="n">
        <f aca="false">V54</f>
        <v>4.7</v>
      </c>
      <c r="AG54" s="5" t="n">
        <f aca="false">W54</f>
        <v>6.7</v>
      </c>
      <c r="AH54" s="5" t="n">
        <f aca="false">X54</f>
        <v>5.62</v>
      </c>
      <c r="AI54" s="4" t="str">
        <f aca="false">INDEX($Z$1:$AH$1,MATCH(MAX(Z54:AH54),Z54:AH54,0))</f>
        <v>SS</v>
      </c>
      <c r="AJ54" s="4" t="n">
        <f aca="false">MAX(Z54:AH54)</f>
        <v>7.15</v>
      </c>
      <c r="AK54" s="4" t="n">
        <f aca="false">SUMPRODUCT(($AI$2:$AI$73=AI54)*($AJ$2:$AJ$73&gt;AJ54))+SUMPRODUCT(($AI$2:$AI$73=AI54)*($AJ$2:$AJ$73=AJ54)*(ROW($AI$2:$AI$73)&lt;ROW(AI54)))+1</f>
        <v>1</v>
      </c>
      <c r="AL54" s="6" t="n">
        <f aca="false">SQRT((H54-'MLB Archetypes'!$C$2)^2+(I54-'MLB Archetypes'!$D$2)^2+(J54-'MLB Archetypes'!$E$2)^2+(K54-'MLB Archetypes'!$F$2)^2)</f>
        <v>8.66025403784439</v>
      </c>
      <c r="AM54" s="6" t="n">
        <f aca="false">SQRT((H54-'MLB Archetypes'!$C$3)^2+(I54-'MLB Archetypes'!$D$3)^2+(J54-'MLB Archetypes'!$E$3)^2+(K54-'MLB Archetypes'!$F$3)^2)</f>
        <v>7.48331477354788</v>
      </c>
      <c r="AN54" s="6" t="n">
        <f aca="false">SQRT((H54-'MLB Archetypes'!$C$4)^2+(I54-'MLB Archetypes'!$D$4)^2+(J54-'MLB Archetypes'!$E$4)^2+(K54-'MLB Archetypes'!$F$4)^2)</f>
        <v>5.8309518948453</v>
      </c>
      <c r="AO54" s="6" t="n">
        <f aca="false">SQRT((H54-'MLB Archetypes'!$C$5)^2+(I54-'MLB Archetypes'!$D$5)^2+(J54-'MLB Archetypes'!$E$5)^2+(K54-'MLB Archetypes'!$F$5)^2)</f>
        <v>4.35889894354067</v>
      </c>
      <c r="AP54" s="6" t="n">
        <f aca="false">SQRT((H54-'MLB Archetypes'!$C$6)^2+(I54-'MLB Archetypes'!$D$6)^2+(J54-'MLB Archetypes'!$E$6)^2+(K54-'MLB Archetypes'!$F$6)^2)</f>
        <v>7.54983443527075</v>
      </c>
      <c r="AQ54" s="6" t="n">
        <f aca="false">SQRT((H54-'MLB Archetypes'!$C$7)^2+(I54-'MLB Archetypes'!$D$7)^2+(J54-'MLB Archetypes'!$E$7)^2+(K54-'MLB Archetypes'!$F$7)^2)</f>
        <v>4.47213595499958</v>
      </c>
      <c r="AR54" s="6" t="n">
        <f aca="false">SQRT((H54-'MLB Archetypes'!$C$8)^2+(I54-'MLB Archetypes'!$D$8)^2+(J54-'MLB Archetypes'!$E$8)^2+(K54-'MLB Archetypes'!$F$8)^2)</f>
        <v>3.46410161513775</v>
      </c>
      <c r="AS54" s="6" t="n">
        <f aca="false">SQRT((H54-'MLB Archetypes'!$C$9)^2+(I54-'MLB Archetypes'!$D$9)^2+(J54-'MLB Archetypes'!$E$9)^2+(K54-'MLB Archetypes'!$F$9)^2)</f>
        <v>4.24264068711929</v>
      </c>
      <c r="AT54" s="6" t="n">
        <f aca="false">SQRT((H54-'MLB Archetypes'!$C$10)^2+(I54-'MLB Archetypes'!$D$10)^2+(J54-'MLB Archetypes'!$E$10)^2+(K54-'MLB Archetypes'!$F$10)^2)</f>
        <v>5.91607978309962</v>
      </c>
      <c r="AU54" s="6" t="n">
        <f aca="false">SQRT((H54-'MLB Archetypes'!$C$11)^2+(I54-'MLB Archetypes'!$D$11)^2+(J54-'MLB Archetypes'!$E$11)^2+(K54-'MLB Archetypes'!$F$11)^2)</f>
        <v>7.07106781186548</v>
      </c>
      <c r="AV54" s="6" t="n">
        <f aca="false">SQRT((H54-'MLB Archetypes'!$C$12)^2+(I54-'MLB Archetypes'!$D$12)^2+(J54-'MLB Archetypes'!$E$12)^2+(K54-'MLB Archetypes'!$F$12)^2)</f>
        <v>2.23606797749979</v>
      </c>
      <c r="AW54" s="6" t="n">
        <f aca="false">SQRT((H54-'MLB Archetypes'!$C$13)^2+(I54-'MLB Archetypes'!$D$13)^2+(J54-'MLB Archetypes'!$E$13)^2+(K54-'MLB Archetypes'!$F$13)^2)</f>
        <v>5.8309518948453</v>
      </c>
      <c r="AX54" s="6" t="n">
        <f aca="false">SQRT((H54-'MLB Archetypes'!$C$14)^2+(I54-'MLB Archetypes'!$D$14)^2+(J54-'MLB Archetypes'!$E$14)^2+(K54-'MLB Archetypes'!$F$14)^2)</f>
        <v>6.70820393249937</v>
      </c>
      <c r="AY54" s="6" t="n">
        <f aca="false">SQRT((H54-'MLB Archetypes'!$C$15)^2+(I54-'MLB Archetypes'!$D$15)^2+(J54-'MLB Archetypes'!$E$15)^2+(K54-'MLB Archetypes'!$F$15)^2)</f>
        <v>5.29150262212918</v>
      </c>
      <c r="AZ54" s="6" t="n">
        <f aca="false">SQRT((H54-'MLB Archetypes'!$C$16)^2+(I54-'MLB Archetypes'!$D$16)^2+(J54-'MLB Archetypes'!$E$16)^2+(K54-'MLB Archetypes'!$F$16)^2)</f>
        <v>5.29150262212918</v>
      </c>
      <c r="BA54" s="6" t="n">
        <f aca="false">SQRT((H54-'MLB Archetypes'!$C$17)^2+(I54-'MLB Archetypes'!$D$17)^2+(J54-'MLB Archetypes'!$E$17)^2+(K54-'MLB Archetypes'!$F$17)^2)</f>
        <v>4.69041575982343</v>
      </c>
      <c r="BB54" s="6" t="n">
        <f aca="false">SQRT((H54-'MLB Archetypes'!$C$18)^2+(I54-'MLB Archetypes'!$D$18)^2+(J54-'MLB Archetypes'!$E$18)^2+(K54-'MLB Archetypes'!$F$18)^2)</f>
        <v>6.70820393249937</v>
      </c>
      <c r="BC54" s="6" t="n">
        <f aca="false">SQRT((H54-'MLB Archetypes'!$C$19)^2+(I54-'MLB Archetypes'!$D$19)^2+(J54-'MLB Archetypes'!$E$19)^2+(K54-'MLB Archetypes'!$F$19)^2)</f>
        <v>4.24264068711929</v>
      </c>
      <c r="BD54" s="4" t="str">
        <f aca="false">INDEX('MLB Archetypes'!$B$2:$B$19,MATCH(MIN(AL54:BC54),AL54:BC54,0))</f>
        <v>Ozzie Smith</v>
      </c>
      <c r="BE54" s="7" t="n">
        <f aca="false">ROUND(10-MIN(AL54:BC54)/1.8,1)</f>
        <v>8.8</v>
      </c>
    </row>
    <row r="55" customFormat="false" ht="15" hidden="false" customHeight="false" outlineLevel="0" collapsed="false">
      <c r="A55" s="2" t="s">
        <v>121</v>
      </c>
      <c r="B55" s="2" t="s">
        <v>61</v>
      </c>
      <c r="C55" s="2" t="s">
        <v>121</v>
      </c>
      <c r="D55" s="2" t="s">
        <v>50</v>
      </c>
      <c r="E55" s="2" t="s">
        <v>50</v>
      </c>
      <c r="F55" s="2" t="s">
        <v>52</v>
      </c>
      <c r="G55" s="2" t="s">
        <v>57</v>
      </c>
      <c r="H55" s="3" t="n">
        <v>5</v>
      </c>
      <c r="I55" s="3" t="n">
        <v>5</v>
      </c>
      <c r="J55" s="3" t="n">
        <v>7</v>
      </c>
      <c r="K55" s="3" t="n">
        <v>5</v>
      </c>
      <c r="L55" s="4" t="n">
        <f aca="false">H55+I55+J55+K55</f>
        <v>22</v>
      </c>
      <c r="M55" s="4" t="n">
        <f aca="false">ROUND(0.75*I55+0.25*K55,2)</f>
        <v>5</v>
      </c>
      <c r="N55" s="4" t="n">
        <f aca="false">ROUND(0.7*J55+0.3*K55,2)</f>
        <v>6.4</v>
      </c>
      <c r="O55" s="4" t="n">
        <f aca="false">ROUND((H55+J55+K55)/3,2)</f>
        <v>5.67</v>
      </c>
      <c r="P55" s="4" t="n">
        <f aca="false">ROUND(0.85*H55+0.15*J55,2)</f>
        <v>5.3</v>
      </c>
      <c r="Q55" s="4" t="n">
        <f aca="false">ROUND(0.6*J55+0.3*I55+0.1*H55,2)</f>
        <v>6.2</v>
      </c>
      <c r="R55" s="4" t="n">
        <f aca="false">ROUND(0.7*I55+0.2*J55+0.1*K55,2)</f>
        <v>5.4</v>
      </c>
      <c r="S55" s="4" t="n">
        <f aca="false">ROUND(0.13*I55+0.35*J55+0.52*K55,2)</f>
        <v>5.7</v>
      </c>
      <c r="T55" s="4" t="n">
        <f aca="false">ROUND(0.4*I55+0.5*J55+0.1*K55,2)</f>
        <v>6</v>
      </c>
      <c r="U55" s="4" t="n">
        <f aca="false">ROUND(0.1*I55+0.55*J55+0.35*K55,2)</f>
        <v>6.1</v>
      </c>
      <c r="V55" s="4" t="n">
        <f aca="false">ROUND(0.6*I55+0.1*J55+0.3*K55,2)</f>
        <v>5.2</v>
      </c>
      <c r="W55" s="4" t="n">
        <f aca="false">ROUND(0.15*I55+0.3*J55+0.55*K55,2)</f>
        <v>5.6</v>
      </c>
      <c r="X55" s="4" t="n">
        <f aca="false">ROUND(0.46*I55+0.46*J55+0.08*K55,2)</f>
        <v>5.92</v>
      </c>
      <c r="Y55" s="4" t="str">
        <f aca="false">IF(H55=MAX(H55:K55),"Pitcher (arm-first)",IF(I55=MAX(H55:K55),"Bat-first (corner/1B/DH)",IF(J55=MAX(H55:K55),"Defense-first (up-the-middle)","Speed-first (CF/leadoff)")))</f>
        <v>Defense-first (up-the-middle)</v>
      </c>
      <c r="Z55" s="5" t="n">
        <f aca="false">P55</f>
        <v>5.3</v>
      </c>
      <c r="AA55" s="5" t="n">
        <f aca="false">IF(F55="Right",Q55,-1)</f>
        <v>6.2</v>
      </c>
      <c r="AB55" s="5" t="n">
        <f aca="false">R55</f>
        <v>5.4</v>
      </c>
      <c r="AC55" s="5" t="n">
        <f aca="false">IF(F55="Right",S55,-1)</f>
        <v>5.7</v>
      </c>
      <c r="AD55" s="5" t="n">
        <f aca="false">IF(F55="Right",T55,-1)</f>
        <v>6</v>
      </c>
      <c r="AE55" s="5" t="n">
        <f aca="false">IF(F55="Right",U55,-1)</f>
        <v>6.1</v>
      </c>
      <c r="AF55" s="5" t="n">
        <f aca="false">V55</f>
        <v>5.2</v>
      </c>
      <c r="AG55" s="5" t="n">
        <f aca="false">W55</f>
        <v>5.6</v>
      </c>
      <c r="AH55" s="5" t="n">
        <f aca="false">X55</f>
        <v>5.92</v>
      </c>
      <c r="AI55" s="4" t="str">
        <f aca="false">INDEX($Z$1:$AH$1,MATCH(MAX(Z55:AH55),Z55:AH55,0))</f>
        <v>C</v>
      </c>
      <c r="AJ55" s="4" t="n">
        <f aca="false">MAX(Z55:AH55)</f>
        <v>6.2</v>
      </c>
      <c r="AK55" s="4" t="n">
        <f aca="false">SUMPRODUCT(($AI$2:$AI$73=AI55)*($AJ$2:$AJ$73&gt;AJ55))+SUMPRODUCT(($AI$2:$AI$73=AI55)*($AJ$2:$AJ$73=AJ55)*(ROW($AI$2:$AI$73)&lt;ROW(AI55)))+1</f>
        <v>6</v>
      </c>
      <c r="AL55" s="6" t="n">
        <f aca="false">SQRT((H55-'MLB Archetypes'!$C$2)^2+(I55-'MLB Archetypes'!$D$2)^2+(J55-'MLB Archetypes'!$E$2)^2+(K55-'MLB Archetypes'!$F$2)^2)</f>
        <v>6.48074069840786</v>
      </c>
      <c r="AM55" s="6" t="n">
        <f aca="false">SQRT((H55-'MLB Archetypes'!$C$3)^2+(I55-'MLB Archetypes'!$D$3)^2+(J55-'MLB Archetypes'!$E$3)^2+(K55-'MLB Archetypes'!$F$3)^2)</f>
        <v>5</v>
      </c>
      <c r="AN55" s="6" t="n">
        <f aca="false">SQRT((H55-'MLB Archetypes'!$C$4)^2+(I55-'MLB Archetypes'!$D$4)^2+(J55-'MLB Archetypes'!$E$4)^2+(K55-'MLB Archetypes'!$F$4)^2)</f>
        <v>4.58257569495584</v>
      </c>
      <c r="AO55" s="6" t="n">
        <f aca="false">SQRT((H55-'MLB Archetypes'!$C$5)^2+(I55-'MLB Archetypes'!$D$5)^2+(J55-'MLB Archetypes'!$E$5)^2+(K55-'MLB Archetypes'!$F$5)^2)</f>
        <v>3.46410161513775</v>
      </c>
      <c r="AP55" s="6" t="n">
        <f aca="false">SQRT((H55-'MLB Archetypes'!$C$6)^2+(I55-'MLB Archetypes'!$D$6)^2+(J55-'MLB Archetypes'!$E$6)^2+(K55-'MLB Archetypes'!$F$6)^2)</f>
        <v>5.47722557505166</v>
      </c>
      <c r="AQ55" s="6" t="n">
        <f aca="false">SQRT((H55-'MLB Archetypes'!$C$7)^2+(I55-'MLB Archetypes'!$D$7)^2+(J55-'MLB Archetypes'!$E$7)^2+(K55-'MLB Archetypes'!$F$7)^2)</f>
        <v>3.87298334620742</v>
      </c>
      <c r="AR55" s="6" t="n">
        <f aca="false">SQRT((H55-'MLB Archetypes'!$C$8)^2+(I55-'MLB Archetypes'!$D$8)^2+(J55-'MLB Archetypes'!$E$8)^2+(K55-'MLB Archetypes'!$F$8)^2)</f>
        <v>4.35889894354067</v>
      </c>
      <c r="AS55" s="6" t="n">
        <f aca="false">SQRT((H55-'MLB Archetypes'!$C$9)^2+(I55-'MLB Archetypes'!$D$9)^2+(J55-'MLB Archetypes'!$E$9)^2+(K55-'MLB Archetypes'!$F$9)^2)</f>
        <v>3.87298334620742</v>
      </c>
      <c r="AT55" s="6" t="n">
        <f aca="false">SQRT((H55-'MLB Archetypes'!$C$10)^2+(I55-'MLB Archetypes'!$D$10)^2+(J55-'MLB Archetypes'!$E$10)^2+(K55-'MLB Archetypes'!$F$10)^2)</f>
        <v>4.47213595499958</v>
      </c>
      <c r="AU55" s="6" t="n">
        <f aca="false">SQRT((H55-'MLB Archetypes'!$C$11)^2+(I55-'MLB Archetypes'!$D$11)^2+(J55-'MLB Archetypes'!$E$11)^2+(K55-'MLB Archetypes'!$F$11)^2)</f>
        <v>5.19615242270663</v>
      </c>
      <c r="AV55" s="6" t="n">
        <f aca="false">SQRT((H55-'MLB Archetypes'!$C$12)^2+(I55-'MLB Archetypes'!$D$12)^2+(J55-'MLB Archetypes'!$E$12)^2+(K55-'MLB Archetypes'!$F$12)^2)</f>
        <v>5.09901951359278</v>
      </c>
      <c r="AW55" s="6" t="n">
        <f aca="false">SQRT((H55-'MLB Archetypes'!$C$13)^2+(I55-'MLB Archetypes'!$D$13)^2+(J55-'MLB Archetypes'!$E$13)^2+(K55-'MLB Archetypes'!$F$13)^2)</f>
        <v>4.12310562561766</v>
      </c>
      <c r="AX55" s="6" t="n">
        <f aca="false">SQRT((H55-'MLB Archetypes'!$C$14)^2+(I55-'MLB Archetypes'!$D$14)^2+(J55-'MLB Archetypes'!$E$14)^2+(K55-'MLB Archetypes'!$F$14)^2)</f>
        <v>5.09901951359278</v>
      </c>
      <c r="AY55" s="6" t="n">
        <f aca="false">SQRT((H55-'MLB Archetypes'!$C$15)^2+(I55-'MLB Archetypes'!$D$15)^2+(J55-'MLB Archetypes'!$E$15)^2+(K55-'MLB Archetypes'!$F$15)^2)</f>
        <v>6.2449979983984</v>
      </c>
      <c r="AZ55" s="6" t="n">
        <f aca="false">SQRT((H55-'MLB Archetypes'!$C$16)^2+(I55-'MLB Archetypes'!$D$16)^2+(J55-'MLB Archetypes'!$E$16)^2+(K55-'MLB Archetypes'!$F$16)^2)</f>
        <v>5.56776436283002</v>
      </c>
      <c r="BA55" s="6" t="n">
        <f aca="false">SQRT((H55-'MLB Archetypes'!$C$17)^2+(I55-'MLB Archetypes'!$D$17)^2+(J55-'MLB Archetypes'!$E$17)^2+(K55-'MLB Archetypes'!$F$17)^2)</f>
        <v>5.3851648071345</v>
      </c>
      <c r="BB55" s="6" t="n">
        <f aca="false">SQRT((H55-'MLB Archetypes'!$C$18)^2+(I55-'MLB Archetypes'!$D$18)^2+(J55-'MLB Archetypes'!$E$18)^2+(K55-'MLB Archetypes'!$F$18)^2)</f>
        <v>5.09901951359278</v>
      </c>
      <c r="BC55" s="6" t="n">
        <f aca="false">SQRT((H55-'MLB Archetypes'!$C$19)^2+(I55-'MLB Archetypes'!$D$19)^2+(J55-'MLB Archetypes'!$E$19)^2+(K55-'MLB Archetypes'!$F$19)^2)</f>
        <v>3.87298334620742</v>
      </c>
      <c r="BD55" s="4" t="str">
        <f aca="false">INDEX('MLB Archetypes'!$B$2:$B$19,MATCH(MIN(AL55:BC55),AL55:BC55,0))</f>
        <v>Ivan Rodriguez</v>
      </c>
      <c r="BE55" s="7" t="n">
        <f aca="false">ROUND(10-MIN(AL55:BC55)/1.8,1)</f>
        <v>8.1</v>
      </c>
    </row>
    <row r="56" customFormat="false" ht="15" hidden="false" customHeight="false" outlineLevel="0" collapsed="false">
      <c r="A56" s="2" t="s">
        <v>122</v>
      </c>
      <c r="B56" s="2" t="s">
        <v>61</v>
      </c>
      <c r="C56" s="2" t="s">
        <v>122</v>
      </c>
      <c r="D56" s="2" t="s">
        <v>50</v>
      </c>
      <c r="E56" s="2" t="s">
        <v>50</v>
      </c>
      <c r="F56" s="2" t="s">
        <v>57</v>
      </c>
      <c r="G56" s="2" t="s">
        <v>52</v>
      </c>
      <c r="H56" s="3" t="n">
        <v>4</v>
      </c>
      <c r="I56" s="3" t="n">
        <v>8</v>
      </c>
      <c r="J56" s="3" t="n">
        <v>6</v>
      </c>
      <c r="K56" s="3" t="n">
        <v>3</v>
      </c>
      <c r="L56" s="4" t="n">
        <f aca="false">H56+I56+J56+K56</f>
        <v>21</v>
      </c>
      <c r="M56" s="4" t="n">
        <f aca="false">ROUND(0.75*I56+0.25*K56,2)</f>
        <v>6.75</v>
      </c>
      <c r="N56" s="4" t="n">
        <f aca="false">ROUND(0.7*J56+0.3*K56,2)</f>
        <v>5.1</v>
      </c>
      <c r="O56" s="4" t="n">
        <f aca="false">ROUND((H56+J56+K56)/3,2)</f>
        <v>4.33</v>
      </c>
      <c r="P56" s="4" t="n">
        <f aca="false">ROUND(0.85*H56+0.15*J56,2)</f>
        <v>4.3</v>
      </c>
      <c r="Q56" s="4" t="n">
        <f aca="false">ROUND(0.6*J56+0.3*I56+0.1*H56,2)</f>
        <v>6.4</v>
      </c>
      <c r="R56" s="4" t="n">
        <f aca="false">ROUND(0.7*I56+0.2*J56+0.1*K56,2)</f>
        <v>7.1</v>
      </c>
      <c r="S56" s="4" t="n">
        <f aca="false">ROUND(0.13*I56+0.35*J56+0.52*K56,2)</f>
        <v>4.7</v>
      </c>
      <c r="T56" s="4" t="n">
        <f aca="false">ROUND(0.4*I56+0.5*J56+0.1*K56,2)</f>
        <v>6.5</v>
      </c>
      <c r="U56" s="4" t="n">
        <f aca="false">ROUND(0.1*I56+0.55*J56+0.35*K56,2)</f>
        <v>5.15</v>
      </c>
      <c r="V56" s="4" t="n">
        <f aca="false">ROUND(0.6*I56+0.1*J56+0.3*K56,2)</f>
        <v>6.3</v>
      </c>
      <c r="W56" s="4" t="n">
        <f aca="false">ROUND(0.15*I56+0.3*J56+0.55*K56,2)</f>
        <v>4.65</v>
      </c>
      <c r="X56" s="4" t="n">
        <f aca="false">ROUND(0.46*I56+0.46*J56+0.08*K56,2)</f>
        <v>6.68</v>
      </c>
      <c r="Y56" s="4" t="str">
        <f aca="false">IF(H56=MAX(H56:K56),"Pitcher (arm-first)",IF(I56=MAX(H56:K56),"Bat-first (corner/1B/DH)",IF(J56=MAX(H56:K56),"Defense-first (up-the-middle)","Speed-first (CF/leadoff)")))</f>
        <v>Bat-first (corner/1B/DH)</v>
      </c>
      <c r="Z56" s="5" t="n">
        <f aca="false">P56</f>
        <v>4.3</v>
      </c>
      <c r="AA56" s="5" t="n">
        <f aca="false">IF(F56="Right",Q56,-1)</f>
        <v>-1</v>
      </c>
      <c r="AB56" s="5" t="n">
        <f aca="false">R56</f>
        <v>7.1</v>
      </c>
      <c r="AC56" s="5" t="n">
        <f aca="false">IF(F56="Right",S56,-1)</f>
        <v>-1</v>
      </c>
      <c r="AD56" s="5" t="n">
        <f aca="false">IF(F56="Right",T56,-1)</f>
        <v>-1</v>
      </c>
      <c r="AE56" s="5" t="n">
        <f aca="false">IF(F56="Right",U56,-1)</f>
        <v>-1</v>
      </c>
      <c r="AF56" s="5" t="n">
        <f aca="false">V56</f>
        <v>6.3</v>
      </c>
      <c r="AG56" s="5" t="n">
        <f aca="false">W56</f>
        <v>4.65</v>
      </c>
      <c r="AH56" s="5" t="n">
        <f aca="false">X56</f>
        <v>6.68</v>
      </c>
      <c r="AI56" s="4" t="str">
        <f aca="false">INDEX($Z$1:$AH$1,MATCH(MAX(Z56:AH56),Z56:AH56,0))</f>
        <v>1B</v>
      </c>
      <c r="AJ56" s="4" t="n">
        <f aca="false">MAX(Z56:AH56)</f>
        <v>7.1</v>
      </c>
      <c r="AK56" s="4" t="n">
        <f aca="false">SUMPRODUCT(($AI$2:$AI$73=AI56)*($AJ$2:$AJ$73&gt;AJ56))+SUMPRODUCT(($AI$2:$AI$73=AI56)*($AJ$2:$AJ$73=AJ56)*(ROW($AI$2:$AI$73)&lt;ROW(AI56)))+1</f>
        <v>7</v>
      </c>
      <c r="AL56" s="6" t="n">
        <f aca="false">SQRT((H56-'MLB Archetypes'!$C$2)^2+(I56-'MLB Archetypes'!$D$2)^2+(J56-'MLB Archetypes'!$E$2)^2+(K56-'MLB Archetypes'!$F$2)^2)</f>
        <v>8.54400374531753</v>
      </c>
      <c r="AM56" s="6" t="n">
        <f aca="false">SQRT((H56-'MLB Archetypes'!$C$3)^2+(I56-'MLB Archetypes'!$D$3)^2+(J56-'MLB Archetypes'!$E$3)^2+(K56-'MLB Archetypes'!$F$3)^2)</f>
        <v>7.07106781186548</v>
      </c>
      <c r="AN56" s="6" t="n">
        <f aca="false">SQRT((H56-'MLB Archetypes'!$C$4)^2+(I56-'MLB Archetypes'!$D$4)^2+(J56-'MLB Archetypes'!$E$4)^2+(K56-'MLB Archetypes'!$F$4)^2)</f>
        <v>3.74165738677394</v>
      </c>
      <c r="AO56" s="6" t="n">
        <f aca="false">SQRT((H56-'MLB Archetypes'!$C$5)^2+(I56-'MLB Archetypes'!$D$5)^2+(J56-'MLB Archetypes'!$E$5)^2+(K56-'MLB Archetypes'!$F$5)^2)</f>
        <v>3.60555127546399</v>
      </c>
      <c r="AP56" s="6" t="n">
        <f aca="false">SQRT((H56-'MLB Archetypes'!$C$6)^2+(I56-'MLB Archetypes'!$D$6)^2+(J56-'MLB Archetypes'!$E$6)^2+(K56-'MLB Archetypes'!$F$6)^2)</f>
        <v>2.23606797749979</v>
      </c>
      <c r="AQ56" s="6" t="n">
        <f aca="false">SQRT((H56-'MLB Archetypes'!$C$7)^2+(I56-'MLB Archetypes'!$D$7)^2+(J56-'MLB Archetypes'!$E$7)^2+(K56-'MLB Archetypes'!$F$7)^2)</f>
        <v>4.24264068711929</v>
      </c>
      <c r="AR56" s="6" t="n">
        <f aca="false">SQRT((H56-'MLB Archetypes'!$C$8)^2+(I56-'MLB Archetypes'!$D$8)^2+(J56-'MLB Archetypes'!$E$8)^2+(K56-'MLB Archetypes'!$F$8)^2)</f>
        <v>5.8309518948453</v>
      </c>
      <c r="AS56" s="6" t="n">
        <f aca="false">SQRT((H56-'MLB Archetypes'!$C$9)^2+(I56-'MLB Archetypes'!$D$9)^2+(J56-'MLB Archetypes'!$E$9)^2+(K56-'MLB Archetypes'!$F$9)^2)</f>
        <v>4.24264068711929</v>
      </c>
      <c r="AT56" s="6" t="n">
        <f aca="false">SQRT((H56-'MLB Archetypes'!$C$10)^2+(I56-'MLB Archetypes'!$D$10)^2+(J56-'MLB Archetypes'!$E$10)^2+(K56-'MLB Archetypes'!$F$10)^2)</f>
        <v>3</v>
      </c>
      <c r="AU56" s="6" t="n">
        <f aca="false">SQRT((H56-'MLB Archetypes'!$C$11)^2+(I56-'MLB Archetypes'!$D$11)^2+(J56-'MLB Archetypes'!$E$11)^2+(K56-'MLB Archetypes'!$F$11)^2)</f>
        <v>2.44948974278318</v>
      </c>
      <c r="AV56" s="6" t="n">
        <f aca="false">SQRT((H56-'MLB Archetypes'!$C$12)^2+(I56-'MLB Archetypes'!$D$12)^2+(J56-'MLB Archetypes'!$E$12)^2+(K56-'MLB Archetypes'!$F$12)^2)</f>
        <v>7.81024967590665</v>
      </c>
      <c r="AW56" s="6" t="n">
        <f aca="false">SQRT((H56-'MLB Archetypes'!$C$13)^2+(I56-'MLB Archetypes'!$D$13)^2+(J56-'MLB Archetypes'!$E$13)^2+(K56-'MLB Archetypes'!$F$13)^2)</f>
        <v>2.44948974278318</v>
      </c>
      <c r="AX56" s="6" t="n">
        <f aca="false">SQRT((H56-'MLB Archetypes'!$C$14)^2+(I56-'MLB Archetypes'!$D$14)^2+(J56-'MLB Archetypes'!$E$14)^2+(K56-'MLB Archetypes'!$F$14)^2)</f>
        <v>3</v>
      </c>
      <c r="AY56" s="6" t="n">
        <f aca="false">SQRT((H56-'MLB Archetypes'!$C$15)^2+(I56-'MLB Archetypes'!$D$15)^2+(J56-'MLB Archetypes'!$E$15)^2+(K56-'MLB Archetypes'!$F$15)^2)</f>
        <v>7.61577310586391</v>
      </c>
      <c r="AZ56" s="6" t="n">
        <f aca="false">SQRT((H56-'MLB Archetypes'!$C$16)^2+(I56-'MLB Archetypes'!$D$16)^2+(J56-'MLB Archetypes'!$E$16)^2+(K56-'MLB Archetypes'!$F$16)^2)</f>
        <v>6.16441400296898</v>
      </c>
      <c r="BA56" s="6" t="n">
        <f aca="false">SQRT((H56-'MLB Archetypes'!$C$17)^2+(I56-'MLB Archetypes'!$D$17)^2+(J56-'MLB Archetypes'!$E$17)^2+(K56-'MLB Archetypes'!$F$17)^2)</f>
        <v>6.48074069840786</v>
      </c>
      <c r="BB56" s="6" t="n">
        <f aca="false">SQRT((H56-'MLB Archetypes'!$C$18)^2+(I56-'MLB Archetypes'!$D$18)^2+(J56-'MLB Archetypes'!$E$18)^2+(K56-'MLB Archetypes'!$F$18)^2)</f>
        <v>3</v>
      </c>
      <c r="BC56" s="6" t="n">
        <f aca="false">SQRT((H56-'MLB Archetypes'!$C$19)^2+(I56-'MLB Archetypes'!$D$19)^2+(J56-'MLB Archetypes'!$E$19)^2+(K56-'MLB Archetypes'!$F$19)^2)</f>
        <v>4.24264068711929</v>
      </c>
      <c r="BD56" s="4" t="str">
        <f aca="false">INDEX('MLB Archetypes'!$B$2:$B$19,MATCH(MIN(AL56:BC56),AL56:BC56,0))</f>
        <v>Albert Pujols</v>
      </c>
      <c r="BE56" s="7" t="n">
        <f aca="false">ROUND(10-MIN(AL56:BC56)/1.8,1)</f>
        <v>8.8</v>
      </c>
    </row>
    <row r="57" customFormat="false" ht="15" hidden="false" customHeight="false" outlineLevel="0" collapsed="false">
      <c r="A57" s="2" t="s">
        <v>123</v>
      </c>
      <c r="B57" s="2" t="s">
        <v>61</v>
      </c>
      <c r="C57" s="2" t="s">
        <v>123</v>
      </c>
      <c r="D57" s="2" t="s">
        <v>51</v>
      </c>
      <c r="E57" s="2" t="s">
        <v>50</v>
      </c>
      <c r="F57" s="2" t="s">
        <v>52</v>
      </c>
      <c r="G57" s="2" t="s">
        <v>57</v>
      </c>
      <c r="H57" s="3" t="n">
        <v>4</v>
      </c>
      <c r="I57" s="3" t="n">
        <v>7</v>
      </c>
      <c r="J57" s="3" t="n">
        <v>7</v>
      </c>
      <c r="K57" s="3" t="n">
        <v>3</v>
      </c>
      <c r="L57" s="4" t="n">
        <f aca="false">H57+I57+J57+K57</f>
        <v>21</v>
      </c>
      <c r="M57" s="4" t="n">
        <f aca="false">ROUND(0.75*I57+0.25*K57,2)</f>
        <v>6</v>
      </c>
      <c r="N57" s="4" t="n">
        <f aca="false">ROUND(0.7*J57+0.3*K57,2)</f>
        <v>5.8</v>
      </c>
      <c r="O57" s="4" t="n">
        <f aca="false">ROUND((H57+J57+K57)/3,2)</f>
        <v>4.67</v>
      </c>
      <c r="P57" s="4" t="n">
        <f aca="false">ROUND(0.85*H57+0.15*J57,2)</f>
        <v>4.45</v>
      </c>
      <c r="Q57" s="4" t="n">
        <f aca="false">ROUND(0.6*J57+0.3*I57+0.1*H57,2)</f>
        <v>6.7</v>
      </c>
      <c r="R57" s="4" t="n">
        <f aca="false">ROUND(0.7*I57+0.2*J57+0.1*K57,2)</f>
        <v>6.6</v>
      </c>
      <c r="S57" s="4" t="n">
        <f aca="false">ROUND(0.13*I57+0.35*J57+0.52*K57,2)</f>
        <v>4.92</v>
      </c>
      <c r="T57" s="4" t="n">
        <f aca="false">ROUND(0.4*I57+0.5*J57+0.1*K57,2)</f>
        <v>6.6</v>
      </c>
      <c r="U57" s="4" t="n">
        <f aca="false">ROUND(0.1*I57+0.55*J57+0.35*K57,2)</f>
        <v>5.6</v>
      </c>
      <c r="V57" s="4" t="n">
        <f aca="false">ROUND(0.6*I57+0.1*J57+0.3*K57,2)</f>
        <v>5.8</v>
      </c>
      <c r="W57" s="4" t="n">
        <f aca="false">ROUND(0.15*I57+0.3*J57+0.55*K57,2)</f>
        <v>4.8</v>
      </c>
      <c r="X57" s="4" t="n">
        <f aca="false">ROUND(0.46*I57+0.46*J57+0.08*K57,2)</f>
        <v>6.68</v>
      </c>
      <c r="Y57" s="4" t="str">
        <f aca="false">IF(H57=MAX(H57:K57),"Pitcher (arm-first)",IF(I57=MAX(H57:K57),"Bat-first (corner/1B/DH)",IF(J57=MAX(H57:K57),"Defense-first (up-the-middle)","Speed-first (CF/leadoff)")))</f>
        <v>Bat-first (corner/1B/DH)</v>
      </c>
      <c r="Z57" s="5" t="n">
        <f aca="false">P57</f>
        <v>4.45</v>
      </c>
      <c r="AA57" s="5" t="n">
        <f aca="false">IF(F57="Right",Q57,-1)</f>
        <v>6.7</v>
      </c>
      <c r="AB57" s="5" t="n">
        <f aca="false">R57</f>
        <v>6.6</v>
      </c>
      <c r="AC57" s="5" t="n">
        <f aca="false">IF(F57="Right",S57,-1)</f>
        <v>4.92</v>
      </c>
      <c r="AD57" s="5" t="n">
        <f aca="false">IF(F57="Right",T57,-1)</f>
        <v>6.6</v>
      </c>
      <c r="AE57" s="5" t="n">
        <f aca="false">IF(F57="Right",U57,-1)</f>
        <v>5.6</v>
      </c>
      <c r="AF57" s="5" t="n">
        <f aca="false">V57</f>
        <v>5.8</v>
      </c>
      <c r="AG57" s="5" t="n">
        <f aca="false">W57</f>
        <v>4.8</v>
      </c>
      <c r="AH57" s="5" t="n">
        <f aca="false">X57</f>
        <v>6.68</v>
      </c>
      <c r="AI57" s="4" t="str">
        <f aca="false">INDEX($Z$1:$AH$1,MATCH(MAX(Z57:AH57),Z57:AH57,0))</f>
        <v>C</v>
      </c>
      <c r="AJ57" s="4" t="n">
        <f aca="false">MAX(Z57:AH57)</f>
        <v>6.7</v>
      </c>
      <c r="AK57" s="4" t="n">
        <f aca="false">SUMPRODUCT(($AI$2:$AI$73=AI57)*($AJ$2:$AJ$73&gt;AJ57))+SUMPRODUCT(($AI$2:$AI$73=AI57)*($AJ$2:$AJ$73=AJ57)*(ROW($AI$2:$AI$73)&lt;ROW(AI57)))+1</f>
        <v>3</v>
      </c>
      <c r="AL57" s="6" t="n">
        <f aca="false">SQRT((H57-'MLB Archetypes'!$C$2)^2+(I57-'MLB Archetypes'!$D$2)^2+(J57-'MLB Archetypes'!$E$2)^2+(K57-'MLB Archetypes'!$F$2)^2)</f>
        <v>8.06225774829855</v>
      </c>
      <c r="AM57" s="6" t="n">
        <f aca="false">SQRT((H57-'MLB Archetypes'!$C$3)^2+(I57-'MLB Archetypes'!$D$3)^2+(J57-'MLB Archetypes'!$E$3)^2+(K57-'MLB Archetypes'!$F$3)^2)</f>
        <v>6.48074069840786</v>
      </c>
      <c r="AN57" s="6" t="n">
        <f aca="false">SQRT((H57-'MLB Archetypes'!$C$4)^2+(I57-'MLB Archetypes'!$D$4)^2+(J57-'MLB Archetypes'!$E$4)^2+(K57-'MLB Archetypes'!$F$4)^2)</f>
        <v>2.82842712474619</v>
      </c>
      <c r="AO57" s="6" t="n">
        <f aca="false">SQRT((H57-'MLB Archetypes'!$C$5)^2+(I57-'MLB Archetypes'!$D$5)^2+(J57-'MLB Archetypes'!$E$5)^2+(K57-'MLB Archetypes'!$F$5)^2)</f>
        <v>2.64575131106459</v>
      </c>
      <c r="AP57" s="6" t="n">
        <f aca="false">SQRT((H57-'MLB Archetypes'!$C$6)^2+(I57-'MLB Archetypes'!$D$6)^2+(J57-'MLB Archetypes'!$E$6)^2+(K57-'MLB Archetypes'!$F$6)^2)</f>
        <v>3</v>
      </c>
      <c r="AQ57" s="6" t="n">
        <f aca="false">SQRT((H57-'MLB Archetypes'!$C$7)^2+(I57-'MLB Archetypes'!$D$7)^2+(J57-'MLB Archetypes'!$E$7)^2+(K57-'MLB Archetypes'!$F$7)^2)</f>
        <v>3.16227766016838</v>
      </c>
      <c r="AR57" s="6" t="n">
        <f aca="false">SQRT((H57-'MLB Archetypes'!$C$8)^2+(I57-'MLB Archetypes'!$D$8)^2+(J57-'MLB Archetypes'!$E$8)^2+(K57-'MLB Archetypes'!$F$8)^2)</f>
        <v>5.47722557505166</v>
      </c>
      <c r="AS57" s="6" t="n">
        <f aca="false">SQRT((H57-'MLB Archetypes'!$C$9)^2+(I57-'MLB Archetypes'!$D$9)^2+(J57-'MLB Archetypes'!$E$9)^2+(K57-'MLB Archetypes'!$F$9)^2)</f>
        <v>3.74165738677394</v>
      </c>
      <c r="AT57" s="6" t="n">
        <f aca="false">SQRT((H57-'MLB Archetypes'!$C$10)^2+(I57-'MLB Archetypes'!$D$10)^2+(J57-'MLB Archetypes'!$E$10)^2+(K57-'MLB Archetypes'!$F$10)^2)</f>
        <v>2.64575131106459</v>
      </c>
      <c r="AU57" s="6" t="n">
        <f aca="false">SQRT((H57-'MLB Archetypes'!$C$11)^2+(I57-'MLB Archetypes'!$D$11)^2+(J57-'MLB Archetypes'!$E$11)^2+(K57-'MLB Archetypes'!$F$11)^2)</f>
        <v>3.16227766016838</v>
      </c>
      <c r="AV57" s="6" t="n">
        <f aca="false">SQRT((H57-'MLB Archetypes'!$C$12)^2+(I57-'MLB Archetypes'!$D$12)^2+(J57-'MLB Archetypes'!$E$12)^2+(K57-'MLB Archetypes'!$F$12)^2)</f>
        <v>6.70820393249937</v>
      </c>
      <c r="AW57" s="6" t="n">
        <f aca="false">SQRT((H57-'MLB Archetypes'!$C$13)^2+(I57-'MLB Archetypes'!$D$13)^2+(J57-'MLB Archetypes'!$E$13)^2+(K57-'MLB Archetypes'!$F$13)^2)</f>
        <v>2</v>
      </c>
      <c r="AX57" s="6" t="n">
        <f aca="false">SQRT((H57-'MLB Archetypes'!$C$14)^2+(I57-'MLB Archetypes'!$D$14)^2+(J57-'MLB Archetypes'!$E$14)^2+(K57-'MLB Archetypes'!$F$14)^2)</f>
        <v>3.60555127546399</v>
      </c>
      <c r="AY57" s="6" t="n">
        <f aca="false">SQRT((H57-'MLB Archetypes'!$C$15)^2+(I57-'MLB Archetypes'!$D$15)^2+(J57-'MLB Archetypes'!$E$15)^2+(K57-'MLB Archetypes'!$F$15)^2)</f>
        <v>7.61577310586391</v>
      </c>
      <c r="AZ57" s="6" t="n">
        <f aca="false">SQRT((H57-'MLB Archetypes'!$C$16)^2+(I57-'MLB Archetypes'!$D$16)^2+(J57-'MLB Archetypes'!$E$16)^2+(K57-'MLB Archetypes'!$F$16)^2)</f>
        <v>5.8309518948453</v>
      </c>
      <c r="BA57" s="6" t="n">
        <f aca="false">SQRT((H57-'MLB Archetypes'!$C$17)^2+(I57-'MLB Archetypes'!$D$17)^2+(J57-'MLB Archetypes'!$E$17)^2+(K57-'MLB Archetypes'!$F$17)^2)</f>
        <v>6.32455532033676</v>
      </c>
      <c r="BB57" s="6" t="n">
        <f aca="false">SQRT((H57-'MLB Archetypes'!$C$18)^2+(I57-'MLB Archetypes'!$D$18)^2+(J57-'MLB Archetypes'!$E$18)^2+(K57-'MLB Archetypes'!$F$18)^2)</f>
        <v>3.60555127546399</v>
      </c>
      <c r="BC57" s="6" t="n">
        <f aca="false">SQRT((H57-'MLB Archetypes'!$C$19)^2+(I57-'MLB Archetypes'!$D$19)^2+(J57-'MLB Archetypes'!$E$19)^2+(K57-'MLB Archetypes'!$F$19)^2)</f>
        <v>3.74165738677394</v>
      </c>
      <c r="BD57" s="4" t="str">
        <f aca="false">INDEX('MLB Archetypes'!$B$2:$B$19,MATCH(MIN(AL57:BC57),AL57:BC57,0))</f>
        <v>Cal Ripken Jr.</v>
      </c>
      <c r="BE57" s="7" t="n">
        <f aca="false">ROUND(10-MIN(AL57:BC57)/1.8,1)</f>
        <v>8.9</v>
      </c>
    </row>
    <row r="58" customFormat="false" ht="15" hidden="false" customHeight="false" outlineLevel="0" collapsed="false">
      <c r="A58" s="2" t="s">
        <v>124</v>
      </c>
      <c r="B58" s="2" t="s">
        <v>61</v>
      </c>
      <c r="C58" s="2" t="s">
        <v>123</v>
      </c>
      <c r="D58" s="2" t="s">
        <v>51</v>
      </c>
      <c r="E58" s="2" t="s">
        <v>50</v>
      </c>
      <c r="F58" s="2" t="s">
        <v>52</v>
      </c>
      <c r="G58" s="2" t="s">
        <v>57</v>
      </c>
      <c r="H58" s="3" t="n">
        <v>5</v>
      </c>
      <c r="I58" s="3" t="n">
        <v>6</v>
      </c>
      <c r="J58" s="3" t="n">
        <v>7</v>
      </c>
      <c r="K58" s="3" t="n">
        <v>3</v>
      </c>
      <c r="L58" s="4" t="n">
        <f aca="false">H58+I58+J58+K58</f>
        <v>21</v>
      </c>
      <c r="M58" s="4" t="n">
        <f aca="false">ROUND(0.75*I58+0.25*K58,2)</f>
        <v>5.25</v>
      </c>
      <c r="N58" s="4" t="n">
        <f aca="false">ROUND(0.7*J58+0.3*K58,2)</f>
        <v>5.8</v>
      </c>
      <c r="O58" s="4" t="n">
        <f aca="false">ROUND((H58+J58+K58)/3,2)</f>
        <v>5</v>
      </c>
      <c r="P58" s="4" t="n">
        <f aca="false">ROUND(0.85*H58+0.15*J58,2)</f>
        <v>5.3</v>
      </c>
      <c r="Q58" s="4" t="n">
        <f aca="false">ROUND(0.6*J58+0.3*I58+0.1*H58,2)</f>
        <v>6.5</v>
      </c>
      <c r="R58" s="4" t="n">
        <f aca="false">ROUND(0.7*I58+0.2*J58+0.1*K58,2)</f>
        <v>5.9</v>
      </c>
      <c r="S58" s="4" t="n">
        <f aca="false">ROUND(0.13*I58+0.35*J58+0.52*K58,2)</f>
        <v>4.79</v>
      </c>
      <c r="T58" s="4" t="n">
        <f aca="false">ROUND(0.4*I58+0.5*J58+0.1*K58,2)</f>
        <v>6.2</v>
      </c>
      <c r="U58" s="4" t="n">
        <f aca="false">ROUND(0.1*I58+0.55*J58+0.35*K58,2)</f>
        <v>5.5</v>
      </c>
      <c r="V58" s="4" t="n">
        <f aca="false">ROUND(0.6*I58+0.1*J58+0.3*K58,2)</f>
        <v>5.2</v>
      </c>
      <c r="W58" s="4" t="n">
        <f aca="false">ROUND(0.15*I58+0.3*J58+0.55*K58,2)</f>
        <v>4.65</v>
      </c>
      <c r="X58" s="4" t="n">
        <f aca="false">ROUND(0.46*I58+0.46*J58+0.08*K58,2)</f>
        <v>6.22</v>
      </c>
      <c r="Y58" s="4" t="str">
        <f aca="false">IF(H58=MAX(H58:K58),"Pitcher (arm-first)",IF(I58=MAX(H58:K58),"Bat-first (corner/1B/DH)",IF(J58=MAX(H58:K58),"Defense-first (up-the-middle)","Speed-first (CF/leadoff)")))</f>
        <v>Defense-first (up-the-middle)</v>
      </c>
      <c r="Z58" s="5" t="n">
        <f aca="false">P58</f>
        <v>5.3</v>
      </c>
      <c r="AA58" s="5" t="n">
        <f aca="false">IF(F58="Right",Q58,-1)</f>
        <v>6.5</v>
      </c>
      <c r="AB58" s="5" t="n">
        <f aca="false">R58</f>
        <v>5.9</v>
      </c>
      <c r="AC58" s="5" t="n">
        <f aca="false">IF(F58="Right",S58,-1)</f>
        <v>4.79</v>
      </c>
      <c r="AD58" s="5" t="n">
        <f aca="false">IF(F58="Right",T58,-1)</f>
        <v>6.2</v>
      </c>
      <c r="AE58" s="5" t="n">
        <f aca="false">IF(F58="Right",U58,-1)</f>
        <v>5.5</v>
      </c>
      <c r="AF58" s="5" t="n">
        <f aca="false">V58</f>
        <v>5.2</v>
      </c>
      <c r="AG58" s="5" t="n">
        <f aca="false">W58</f>
        <v>4.65</v>
      </c>
      <c r="AH58" s="5" t="n">
        <f aca="false">X58</f>
        <v>6.22</v>
      </c>
      <c r="AI58" s="4" t="str">
        <f aca="false">INDEX($Z$1:$AH$1,MATCH(MAX(Z58:AH58),Z58:AH58,0))</f>
        <v>C</v>
      </c>
      <c r="AJ58" s="4" t="n">
        <f aca="false">MAX(Z58:AH58)</f>
        <v>6.5</v>
      </c>
      <c r="AK58" s="4" t="n">
        <f aca="false">SUMPRODUCT(($AI$2:$AI$73=AI58)*($AJ$2:$AJ$73&gt;AJ58))+SUMPRODUCT(($AI$2:$AI$73=AI58)*($AJ$2:$AJ$73=AJ58)*(ROW($AI$2:$AI$73)&lt;ROW(AI58)))+1</f>
        <v>4</v>
      </c>
      <c r="AL58" s="6" t="n">
        <f aca="false">SQRT((H58-'MLB Archetypes'!$C$2)^2+(I58-'MLB Archetypes'!$D$2)^2+(J58-'MLB Archetypes'!$E$2)^2+(K58-'MLB Archetypes'!$F$2)^2)</f>
        <v>6.70820393249937</v>
      </c>
      <c r="AM58" s="6" t="n">
        <f aca="false">SQRT((H58-'MLB Archetypes'!$C$3)^2+(I58-'MLB Archetypes'!$D$3)^2+(J58-'MLB Archetypes'!$E$3)^2+(K58-'MLB Archetypes'!$F$3)^2)</f>
        <v>5.09901951359278</v>
      </c>
      <c r="AN58" s="6" t="n">
        <f aca="false">SQRT((H58-'MLB Archetypes'!$C$4)^2+(I58-'MLB Archetypes'!$D$4)^2+(J58-'MLB Archetypes'!$E$4)^2+(K58-'MLB Archetypes'!$F$4)^2)</f>
        <v>3.74165738677394</v>
      </c>
      <c r="AO58" s="6" t="n">
        <f aca="false">SQRT((H58-'MLB Archetypes'!$C$5)^2+(I58-'MLB Archetypes'!$D$5)^2+(J58-'MLB Archetypes'!$E$5)^2+(K58-'MLB Archetypes'!$F$5)^2)</f>
        <v>3.3166247903554</v>
      </c>
      <c r="AP58" s="6" t="n">
        <f aca="false">SQRT((H58-'MLB Archetypes'!$C$6)^2+(I58-'MLB Archetypes'!$D$6)^2+(J58-'MLB Archetypes'!$E$6)^2+(K58-'MLB Archetypes'!$F$6)^2)</f>
        <v>4.35889894354067</v>
      </c>
      <c r="AQ58" s="6" t="n">
        <f aca="false">SQRT((H58-'MLB Archetypes'!$C$7)^2+(I58-'MLB Archetypes'!$D$7)^2+(J58-'MLB Archetypes'!$E$7)^2+(K58-'MLB Archetypes'!$F$7)^2)</f>
        <v>3.74165738677394</v>
      </c>
      <c r="AR58" s="6" t="n">
        <f aca="false">SQRT((H58-'MLB Archetypes'!$C$8)^2+(I58-'MLB Archetypes'!$D$8)^2+(J58-'MLB Archetypes'!$E$8)^2+(K58-'MLB Archetypes'!$F$8)^2)</f>
        <v>5.8309518948453</v>
      </c>
      <c r="AS58" s="6" t="n">
        <f aca="false">SQRT((H58-'MLB Archetypes'!$C$9)^2+(I58-'MLB Archetypes'!$D$9)^2+(J58-'MLB Archetypes'!$E$9)^2+(K58-'MLB Archetypes'!$F$9)^2)</f>
        <v>4.47213595499958</v>
      </c>
      <c r="AT58" s="6" t="n">
        <f aca="false">SQRT((H58-'MLB Archetypes'!$C$10)^2+(I58-'MLB Archetypes'!$D$10)^2+(J58-'MLB Archetypes'!$E$10)^2+(K58-'MLB Archetypes'!$F$10)^2)</f>
        <v>3.87298334620742</v>
      </c>
      <c r="AU58" s="6" t="n">
        <f aca="false">SQRT((H58-'MLB Archetypes'!$C$11)^2+(I58-'MLB Archetypes'!$D$11)^2+(J58-'MLB Archetypes'!$E$11)^2+(K58-'MLB Archetypes'!$F$11)^2)</f>
        <v>4.47213595499958</v>
      </c>
      <c r="AV58" s="6" t="n">
        <f aca="false">SQRT((H58-'MLB Archetypes'!$C$12)^2+(I58-'MLB Archetypes'!$D$12)^2+(J58-'MLB Archetypes'!$E$12)^2+(K58-'MLB Archetypes'!$F$12)^2)</f>
        <v>6.557438524302</v>
      </c>
      <c r="AW58" s="6" t="n">
        <f aca="false">SQRT((H58-'MLB Archetypes'!$C$13)^2+(I58-'MLB Archetypes'!$D$13)^2+(J58-'MLB Archetypes'!$E$13)^2+(K58-'MLB Archetypes'!$F$13)^2)</f>
        <v>3.16227766016838</v>
      </c>
      <c r="AX58" s="6" t="n">
        <f aca="false">SQRT((H58-'MLB Archetypes'!$C$14)^2+(I58-'MLB Archetypes'!$D$14)^2+(J58-'MLB Archetypes'!$E$14)^2+(K58-'MLB Archetypes'!$F$14)^2)</f>
        <v>4.79583152331272</v>
      </c>
      <c r="AY58" s="6" t="n">
        <f aca="false">SQRT((H58-'MLB Archetypes'!$C$15)^2+(I58-'MLB Archetypes'!$D$15)^2+(J58-'MLB Archetypes'!$E$15)^2+(K58-'MLB Archetypes'!$F$15)^2)</f>
        <v>7.87400787401181</v>
      </c>
      <c r="AZ58" s="6" t="n">
        <f aca="false">SQRT((H58-'MLB Archetypes'!$C$16)^2+(I58-'MLB Archetypes'!$D$16)^2+(J58-'MLB Archetypes'!$E$16)^2+(K58-'MLB Archetypes'!$F$16)^2)</f>
        <v>6.48074069840786</v>
      </c>
      <c r="BA58" s="6" t="n">
        <f aca="false">SQRT((H58-'MLB Archetypes'!$C$17)^2+(I58-'MLB Archetypes'!$D$17)^2+(J58-'MLB Archetypes'!$E$17)^2+(K58-'MLB Archetypes'!$F$17)^2)</f>
        <v>6.78232998312527</v>
      </c>
      <c r="BB58" s="6" t="n">
        <f aca="false">SQRT((H58-'MLB Archetypes'!$C$18)^2+(I58-'MLB Archetypes'!$D$18)^2+(J58-'MLB Archetypes'!$E$18)^2+(K58-'MLB Archetypes'!$F$18)^2)</f>
        <v>4.79583152331272</v>
      </c>
      <c r="BC58" s="6" t="n">
        <f aca="false">SQRT((H58-'MLB Archetypes'!$C$19)^2+(I58-'MLB Archetypes'!$D$19)^2+(J58-'MLB Archetypes'!$E$19)^2+(K58-'MLB Archetypes'!$F$19)^2)</f>
        <v>4.47213595499958</v>
      </c>
      <c r="BD58" s="4" t="str">
        <f aca="false">INDEX('MLB Archetypes'!$B$2:$B$19,MATCH(MIN(AL58:BC58),AL58:BC58,0))</f>
        <v>Cal Ripken Jr.</v>
      </c>
      <c r="BE58" s="7" t="n">
        <f aca="false">ROUND(10-MIN(AL58:BC58)/1.8,1)</f>
        <v>8.2</v>
      </c>
    </row>
    <row r="59" customFormat="false" ht="15" hidden="false" customHeight="false" outlineLevel="0" collapsed="false">
      <c r="A59" s="2" t="s">
        <v>125</v>
      </c>
      <c r="B59" s="2" t="s">
        <v>61</v>
      </c>
      <c r="C59" s="2" t="s">
        <v>123</v>
      </c>
      <c r="D59" s="2" t="s">
        <v>51</v>
      </c>
      <c r="E59" s="2" t="s">
        <v>50</v>
      </c>
      <c r="F59" s="2" t="s">
        <v>52</v>
      </c>
      <c r="G59" s="2" t="s">
        <v>57</v>
      </c>
      <c r="H59" s="3" t="n">
        <v>3</v>
      </c>
      <c r="I59" s="3" t="n">
        <v>8</v>
      </c>
      <c r="J59" s="3" t="n">
        <v>7</v>
      </c>
      <c r="K59" s="3" t="n">
        <v>3</v>
      </c>
      <c r="L59" s="4" t="n">
        <f aca="false">H59+I59+J59+K59</f>
        <v>21</v>
      </c>
      <c r="M59" s="4" t="n">
        <f aca="false">ROUND(0.75*I59+0.25*K59,2)</f>
        <v>6.75</v>
      </c>
      <c r="N59" s="4" t="n">
        <f aca="false">ROUND(0.7*J59+0.3*K59,2)</f>
        <v>5.8</v>
      </c>
      <c r="O59" s="4" t="n">
        <f aca="false">ROUND((H59+J59+K59)/3,2)</f>
        <v>4.33</v>
      </c>
      <c r="P59" s="4" t="n">
        <f aca="false">ROUND(0.85*H59+0.15*J59,2)</f>
        <v>3.6</v>
      </c>
      <c r="Q59" s="4" t="n">
        <f aca="false">ROUND(0.6*J59+0.3*I59+0.1*H59,2)</f>
        <v>6.9</v>
      </c>
      <c r="R59" s="4" t="n">
        <f aca="false">ROUND(0.7*I59+0.2*J59+0.1*K59,2)</f>
        <v>7.3</v>
      </c>
      <c r="S59" s="4" t="n">
        <f aca="false">ROUND(0.13*I59+0.35*J59+0.52*K59,2)</f>
        <v>5.05</v>
      </c>
      <c r="T59" s="4" t="n">
        <f aca="false">ROUND(0.4*I59+0.5*J59+0.1*K59,2)</f>
        <v>7</v>
      </c>
      <c r="U59" s="4" t="n">
        <f aca="false">ROUND(0.1*I59+0.55*J59+0.35*K59,2)</f>
        <v>5.7</v>
      </c>
      <c r="V59" s="4" t="n">
        <f aca="false">ROUND(0.6*I59+0.1*J59+0.3*K59,2)</f>
        <v>6.4</v>
      </c>
      <c r="W59" s="4" t="n">
        <f aca="false">ROUND(0.15*I59+0.3*J59+0.55*K59,2)</f>
        <v>4.95</v>
      </c>
      <c r="X59" s="4" t="n">
        <f aca="false">ROUND(0.46*I59+0.46*J59+0.08*K59,2)</f>
        <v>7.14</v>
      </c>
      <c r="Y59" s="4" t="str">
        <f aca="false">IF(H59=MAX(H59:K59),"Pitcher (arm-first)",IF(I59=MAX(H59:K59),"Bat-first (corner/1B/DH)",IF(J59=MAX(H59:K59),"Defense-first (up-the-middle)","Speed-first (CF/leadoff)")))</f>
        <v>Bat-first (corner/1B/DH)</v>
      </c>
      <c r="Z59" s="5" t="n">
        <f aca="false">P59</f>
        <v>3.6</v>
      </c>
      <c r="AA59" s="5" t="n">
        <f aca="false">IF(F59="Right",Q59,-1)</f>
        <v>6.9</v>
      </c>
      <c r="AB59" s="5" t="n">
        <f aca="false">R59</f>
        <v>7.3</v>
      </c>
      <c r="AC59" s="5" t="n">
        <f aca="false">IF(F59="Right",S59,-1)</f>
        <v>5.05</v>
      </c>
      <c r="AD59" s="5" t="n">
        <f aca="false">IF(F59="Right",T59,-1)</f>
        <v>7</v>
      </c>
      <c r="AE59" s="5" t="n">
        <f aca="false">IF(F59="Right",U59,-1)</f>
        <v>5.7</v>
      </c>
      <c r="AF59" s="5" t="n">
        <f aca="false">V59</f>
        <v>6.4</v>
      </c>
      <c r="AG59" s="5" t="n">
        <f aca="false">W59</f>
        <v>4.95</v>
      </c>
      <c r="AH59" s="5" t="n">
        <f aca="false">X59</f>
        <v>7.14</v>
      </c>
      <c r="AI59" s="4" t="str">
        <f aca="false">INDEX($Z$1:$AH$1,MATCH(MAX(Z59:AH59),Z59:AH59,0))</f>
        <v>1B</v>
      </c>
      <c r="AJ59" s="4" t="n">
        <f aca="false">MAX(Z59:AH59)</f>
        <v>7.3</v>
      </c>
      <c r="AK59" s="4" t="n">
        <f aca="false">SUMPRODUCT(($AI$2:$AI$73=AI59)*($AJ$2:$AJ$73&gt;AJ59))+SUMPRODUCT(($AI$2:$AI$73=AI59)*($AJ$2:$AJ$73=AJ59)*(ROW($AI$2:$AI$73)&lt;ROW(AI59)))+1</f>
        <v>5</v>
      </c>
      <c r="AL59" s="6" t="n">
        <f aca="false">SQRT((H59-'MLB Archetypes'!$C$2)^2+(I59-'MLB Archetypes'!$D$2)^2+(J59-'MLB Archetypes'!$E$2)^2+(K59-'MLB Archetypes'!$F$2)^2)</f>
        <v>9.4339811320566</v>
      </c>
      <c r="AM59" s="6" t="n">
        <f aca="false">SQRT((H59-'MLB Archetypes'!$C$3)^2+(I59-'MLB Archetypes'!$D$3)^2+(J59-'MLB Archetypes'!$E$3)^2+(K59-'MLB Archetypes'!$F$3)^2)</f>
        <v>7.87400787401181</v>
      </c>
      <c r="AN59" s="6" t="n">
        <f aca="false">SQRT((H59-'MLB Archetypes'!$C$4)^2+(I59-'MLB Archetypes'!$D$4)^2+(J59-'MLB Archetypes'!$E$4)^2+(K59-'MLB Archetypes'!$F$4)^2)</f>
        <v>2.44948974278318</v>
      </c>
      <c r="AO59" s="6" t="n">
        <f aca="false">SQRT((H59-'MLB Archetypes'!$C$5)^2+(I59-'MLB Archetypes'!$D$5)^2+(J59-'MLB Archetypes'!$E$5)^2+(K59-'MLB Archetypes'!$F$5)^2)</f>
        <v>2.64575131106459</v>
      </c>
      <c r="AP59" s="6" t="n">
        <f aca="false">SQRT((H59-'MLB Archetypes'!$C$6)^2+(I59-'MLB Archetypes'!$D$6)^2+(J59-'MLB Archetypes'!$E$6)^2+(K59-'MLB Archetypes'!$F$6)^2)</f>
        <v>1.73205080756888</v>
      </c>
      <c r="AQ59" s="6" t="n">
        <f aca="false">SQRT((H59-'MLB Archetypes'!$C$7)^2+(I59-'MLB Archetypes'!$D$7)^2+(J59-'MLB Archetypes'!$E$7)^2+(K59-'MLB Archetypes'!$F$7)^2)</f>
        <v>3.16227766016838</v>
      </c>
      <c r="AR59" s="6" t="n">
        <f aca="false">SQRT((H59-'MLB Archetypes'!$C$8)^2+(I59-'MLB Archetypes'!$D$8)^2+(J59-'MLB Archetypes'!$E$8)^2+(K59-'MLB Archetypes'!$F$8)^2)</f>
        <v>5.47722557505166</v>
      </c>
      <c r="AS59" s="6" t="n">
        <f aca="false">SQRT((H59-'MLB Archetypes'!$C$9)^2+(I59-'MLB Archetypes'!$D$9)^2+(J59-'MLB Archetypes'!$E$9)^2+(K59-'MLB Archetypes'!$F$9)^2)</f>
        <v>3.46410161513775</v>
      </c>
      <c r="AT59" s="6" t="n">
        <f aca="false">SQRT((H59-'MLB Archetypes'!$C$10)^2+(I59-'MLB Archetypes'!$D$10)^2+(J59-'MLB Archetypes'!$E$10)^2+(K59-'MLB Archetypes'!$F$10)^2)</f>
        <v>1.73205080756888</v>
      </c>
      <c r="AU59" s="6" t="n">
        <f aca="false">SQRT((H59-'MLB Archetypes'!$C$11)^2+(I59-'MLB Archetypes'!$D$11)^2+(J59-'MLB Archetypes'!$E$11)^2+(K59-'MLB Archetypes'!$F$11)^2)</f>
        <v>2</v>
      </c>
      <c r="AV59" s="6" t="n">
        <f aca="false">SQRT((H59-'MLB Archetypes'!$C$12)^2+(I59-'MLB Archetypes'!$D$12)^2+(J59-'MLB Archetypes'!$E$12)^2+(K59-'MLB Archetypes'!$F$12)^2)</f>
        <v>7.14142842854285</v>
      </c>
      <c r="AW59" s="6" t="n">
        <f aca="false">SQRT((H59-'MLB Archetypes'!$C$13)^2+(I59-'MLB Archetypes'!$D$13)^2+(J59-'MLB Archetypes'!$E$13)^2+(K59-'MLB Archetypes'!$F$13)^2)</f>
        <v>1.4142135623731</v>
      </c>
      <c r="AX59" s="6" t="n">
        <f aca="false">SQRT((H59-'MLB Archetypes'!$C$14)^2+(I59-'MLB Archetypes'!$D$14)^2+(J59-'MLB Archetypes'!$E$14)^2+(K59-'MLB Archetypes'!$F$14)^2)</f>
        <v>2.64575131106459</v>
      </c>
      <c r="AY59" s="6" t="n">
        <f aca="false">SQRT((H59-'MLB Archetypes'!$C$15)^2+(I59-'MLB Archetypes'!$D$15)^2+(J59-'MLB Archetypes'!$E$15)^2+(K59-'MLB Archetypes'!$F$15)^2)</f>
        <v>7.61577310586391</v>
      </c>
      <c r="AZ59" s="6" t="n">
        <f aca="false">SQRT((H59-'MLB Archetypes'!$C$16)^2+(I59-'MLB Archetypes'!$D$16)^2+(J59-'MLB Archetypes'!$E$16)^2+(K59-'MLB Archetypes'!$F$16)^2)</f>
        <v>5.47722557505166</v>
      </c>
      <c r="BA59" s="6" t="n">
        <f aca="false">SQRT((H59-'MLB Archetypes'!$C$17)^2+(I59-'MLB Archetypes'!$D$17)^2+(J59-'MLB Archetypes'!$E$17)^2+(K59-'MLB Archetypes'!$F$17)^2)</f>
        <v>6.16441400296898</v>
      </c>
      <c r="BB59" s="6" t="n">
        <f aca="false">SQRT((H59-'MLB Archetypes'!$C$18)^2+(I59-'MLB Archetypes'!$D$18)^2+(J59-'MLB Archetypes'!$E$18)^2+(K59-'MLB Archetypes'!$F$18)^2)</f>
        <v>2.64575131106459</v>
      </c>
      <c r="BC59" s="6" t="n">
        <f aca="false">SQRT((H59-'MLB Archetypes'!$C$19)^2+(I59-'MLB Archetypes'!$D$19)^2+(J59-'MLB Archetypes'!$E$19)^2+(K59-'MLB Archetypes'!$F$19)^2)</f>
        <v>3.46410161513775</v>
      </c>
      <c r="BD59" s="4" t="str">
        <f aca="false">INDEX('MLB Archetypes'!$B$2:$B$19,MATCH(MIN(AL59:BC59),AL59:BC59,0))</f>
        <v>Cal Ripken Jr.</v>
      </c>
      <c r="BE59" s="7" t="n">
        <f aca="false">ROUND(10-MIN(AL59:BC59)/1.8,1)</f>
        <v>9.2</v>
      </c>
    </row>
    <row r="60" customFormat="false" ht="15" hidden="false" customHeight="false" outlineLevel="0" collapsed="false">
      <c r="A60" s="2" t="s">
        <v>126</v>
      </c>
      <c r="B60" s="2" t="s">
        <v>61</v>
      </c>
      <c r="C60" s="2" t="s">
        <v>123</v>
      </c>
      <c r="D60" s="2" t="s">
        <v>51</v>
      </c>
      <c r="E60" s="2" t="s">
        <v>50</v>
      </c>
      <c r="F60" s="2" t="s">
        <v>52</v>
      </c>
      <c r="G60" s="2" t="s">
        <v>57</v>
      </c>
      <c r="H60" s="3" t="n">
        <v>3</v>
      </c>
      <c r="I60" s="3" t="n">
        <v>7</v>
      </c>
      <c r="J60" s="3" t="n">
        <v>7</v>
      </c>
      <c r="K60" s="3" t="n">
        <v>4</v>
      </c>
      <c r="L60" s="4" t="n">
        <f aca="false">H60+I60+J60+K60</f>
        <v>21</v>
      </c>
      <c r="M60" s="4" t="n">
        <f aca="false">ROUND(0.75*I60+0.25*K60,2)</f>
        <v>6.25</v>
      </c>
      <c r="N60" s="4" t="n">
        <f aca="false">ROUND(0.7*J60+0.3*K60,2)</f>
        <v>6.1</v>
      </c>
      <c r="O60" s="4" t="n">
        <f aca="false">ROUND((H60+J60+K60)/3,2)</f>
        <v>4.67</v>
      </c>
      <c r="P60" s="4" t="n">
        <f aca="false">ROUND(0.85*H60+0.15*J60,2)</f>
        <v>3.6</v>
      </c>
      <c r="Q60" s="4" t="n">
        <f aca="false">ROUND(0.6*J60+0.3*I60+0.1*H60,2)</f>
        <v>6.6</v>
      </c>
      <c r="R60" s="4" t="n">
        <f aca="false">ROUND(0.7*I60+0.2*J60+0.1*K60,2)</f>
        <v>6.7</v>
      </c>
      <c r="S60" s="4" t="n">
        <f aca="false">ROUND(0.13*I60+0.35*J60+0.52*K60,2)</f>
        <v>5.44</v>
      </c>
      <c r="T60" s="4" t="n">
        <f aca="false">ROUND(0.4*I60+0.5*J60+0.1*K60,2)</f>
        <v>6.7</v>
      </c>
      <c r="U60" s="4" t="n">
        <f aca="false">ROUND(0.1*I60+0.55*J60+0.35*K60,2)</f>
        <v>5.95</v>
      </c>
      <c r="V60" s="4" t="n">
        <f aca="false">ROUND(0.6*I60+0.1*J60+0.3*K60,2)</f>
        <v>6.1</v>
      </c>
      <c r="W60" s="4" t="n">
        <f aca="false">ROUND(0.15*I60+0.3*J60+0.55*K60,2)</f>
        <v>5.35</v>
      </c>
      <c r="X60" s="4" t="n">
        <f aca="false">ROUND(0.46*I60+0.46*J60+0.08*K60,2)</f>
        <v>6.76</v>
      </c>
      <c r="Y60" s="4" t="str">
        <f aca="false">IF(H60=MAX(H60:K60),"Pitcher (arm-first)",IF(I60=MAX(H60:K60),"Bat-first (corner/1B/DH)",IF(J60=MAX(H60:K60),"Defense-first (up-the-middle)","Speed-first (CF/leadoff)")))</f>
        <v>Bat-first (corner/1B/DH)</v>
      </c>
      <c r="Z60" s="5" t="n">
        <f aca="false">P60</f>
        <v>3.6</v>
      </c>
      <c r="AA60" s="5" t="n">
        <f aca="false">IF(F60="Right",Q60,-1)</f>
        <v>6.6</v>
      </c>
      <c r="AB60" s="5" t="n">
        <f aca="false">R60</f>
        <v>6.7</v>
      </c>
      <c r="AC60" s="5" t="n">
        <f aca="false">IF(F60="Right",S60,-1)</f>
        <v>5.44</v>
      </c>
      <c r="AD60" s="5" t="n">
        <f aca="false">IF(F60="Right",T60,-1)</f>
        <v>6.7</v>
      </c>
      <c r="AE60" s="5" t="n">
        <f aca="false">IF(F60="Right",U60,-1)</f>
        <v>5.95</v>
      </c>
      <c r="AF60" s="5" t="n">
        <f aca="false">V60</f>
        <v>6.1</v>
      </c>
      <c r="AG60" s="5" t="n">
        <f aca="false">W60</f>
        <v>5.35</v>
      </c>
      <c r="AH60" s="5" t="n">
        <f aca="false">X60</f>
        <v>6.76</v>
      </c>
      <c r="AI60" s="4" t="str">
        <f aca="false">INDEX($Z$1:$AH$1,MATCH(MAX(Z60:AH60),Z60:AH60,0))</f>
        <v>RF</v>
      </c>
      <c r="AJ60" s="4" t="n">
        <f aca="false">MAX(Z60:AH60)</f>
        <v>6.76</v>
      </c>
      <c r="AK60" s="4" t="n">
        <f aca="false">SUMPRODUCT(($AI$2:$AI$73=AI60)*($AJ$2:$AJ$73&gt;AJ60))+SUMPRODUCT(($AI$2:$AI$73=AI60)*($AJ$2:$AJ$73=AJ60)*(ROW($AI$2:$AI$73)&lt;ROW(AI60)))+1</f>
        <v>1</v>
      </c>
      <c r="AL60" s="6" t="n">
        <f aca="false">SQRT((H60-'MLB Archetypes'!$C$2)^2+(I60-'MLB Archetypes'!$D$2)^2+(J60-'MLB Archetypes'!$E$2)^2+(K60-'MLB Archetypes'!$F$2)^2)</f>
        <v>8.88819441731559</v>
      </c>
      <c r="AM60" s="6" t="n">
        <f aca="false">SQRT((H60-'MLB Archetypes'!$C$3)^2+(I60-'MLB Archetypes'!$D$3)^2+(J60-'MLB Archetypes'!$E$3)^2+(K60-'MLB Archetypes'!$F$3)^2)</f>
        <v>7.34846922834953</v>
      </c>
      <c r="AN60" s="6" t="n">
        <f aca="false">SQRT((H60-'MLB Archetypes'!$C$4)^2+(I60-'MLB Archetypes'!$D$4)^2+(J60-'MLB Archetypes'!$E$4)^2+(K60-'MLB Archetypes'!$F$4)^2)</f>
        <v>2.44948974278318</v>
      </c>
      <c r="AO60" s="6" t="n">
        <f aca="false">SQRT((H60-'MLB Archetypes'!$C$5)^2+(I60-'MLB Archetypes'!$D$5)^2+(J60-'MLB Archetypes'!$E$5)^2+(K60-'MLB Archetypes'!$F$5)^2)</f>
        <v>1.73205080756888</v>
      </c>
      <c r="AP60" s="6" t="n">
        <f aca="false">SQRT((H60-'MLB Archetypes'!$C$6)^2+(I60-'MLB Archetypes'!$D$6)^2+(J60-'MLB Archetypes'!$E$6)^2+(K60-'MLB Archetypes'!$F$6)^2)</f>
        <v>2.64575131106459</v>
      </c>
      <c r="AQ60" s="6" t="n">
        <f aca="false">SQRT((H60-'MLB Archetypes'!$C$7)^2+(I60-'MLB Archetypes'!$D$7)^2+(J60-'MLB Archetypes'!$E$7)^2+(K60-'MLB Archetypes'!$F$7)^2)</f>
        <v>2.44948974278318</v>
      </c>
      <c r="AR60" s="6" t="n">
        <f aca="false">SQRT((H60-'MLB Archetypes'!$C$8)^2+(I60-'MLB Archetypes'!$D$8)^2+(J60-'MLB Archetypes'!$E$8)^2+(K60-'MLB Archetypes'!$F$8)^2)</f>
        <v>4.24264068711929</v>
      </c>
      <c r="AS60" s="6" t="n">
        <f aca="false">SQRT((H60-'MLB Archetypes'!$C$9)^2+(I60-'MLB Archetypes'!$D$9)^2+(J60-'MLB Archetypes'!$E$9)^2+(K60-'MLB Archetypes'!$F$9)^2)</f>
        <v>2.44948974278318</v>
      </c>
      <c r="AT60" s="6" t="n">
        <f aca="false">SQRT((H60-'MLB Archetypes'!$C$10)^2+(I60-'MLB Archetypes'!$D$10)^2+(J60-'MLB Archetypes'!$E$10)^2+(K60-'MLB Archetypes'!$F$10)^2)</f>
        <v>1.73205080756888</v>
      </c>
      <c r="AU60" s="6" t="n">
        <f aca="false">SQRT((H60-'MLB Archetypes'!$C$11)^2+(I60-'MLB Archetypes'!$D$11)^2+(J60-'MLB Archetypes'!$E$11)^2+(K60-'MLB Archetypes'!$F$11)^2)</f>
        <v>2.44948974278318</v>
      </c>
      <c r="AV60" s="6" t="n">
        <f aca="false">SQRT((H60-'MLB Archetypes'!$C$12)^2+(I60-'MLB Archetypes'!$D$12)^2+(J60-'MLB Archetypes'!$E$12)^2+(K60-'MLB Archetypes'!$F$12)^2)</f>
        <v>5.91607978309962</v>
      </c>
      <c r="AW60" s="6" t="n">
        <f aca="false">SQRT((H60-'MLB Archetypes'!$C$13)^2+(I60-'MLB Archetypes'!$D$13)^2+(J60-'MLB Archetypes'!$E$13)^2+(K60-'MLB Archetypes'!$F$13)^2)</f>
        <v>1.4142135623731</v>
      </c>
      <c r="AX60" s="6" t="n">
        <f aca="false">SQRT((H60-'MLB Archetypes'!$C$14)^2+(I60-'MLB Archetypes'!$D$14)^2+(J60-'MLB Archetypes'!$E$14)^2+(K60-'MLB Archetypes'!$F$14)^2)</f>
        <v>2.64575131106459</v>
      </c>
      <c r="AY60" s="6" t="n">
        <f aca="false">SQRT((H60-'MLB Archetypes'!$C$15)^2+(I60-'MLB Archetypes'!$D$15)^2+(J60-'MLB Archetypes'!$E$15)^2+(K60-'MLB Archetypes'!$F$15)^2)</f>
        <v>6.48074069840786</v>
      </c>
      <c r="AZ60" s="6" t="n">
        <f aca="false">SQRT((H60-'MLB Archetypes'!$C$16)^2+(I60-'MLB Archetypes'!$D$16)^2+(J60-'MLB Archetypes'!$E$16)^2+(K60-'MLB Archetypes'!$F$16)^2)</f>
        <v>4.69041575982343</v>
      </c>
      <c r="BA60" s="6" t="n">
        <f aca="false">SQRT((H60-'MLB Archetypes'!$C$17)^2+(I60-'MLB Archetypes'!$D$17)^2+(J60-'MLB Archetypes'!$E$17)^2+(K60-'MLB Archetypes'!$F$17)^2)</f>
        <v>5.09901951359278</v>
      </c>
      <c r="BB60" s="6" t="n">
        <f aca="false">SQRT((H60-'MLB Archetypes'!$C$18)^2+(I60-'MLB Archetypes'!$D$18)^2+(J60-'MLB Archetypes'!$E$18)^2+(K60-'MLB Archetypes'!$F$18)^2)</f>
        <v>2.64575131106459</v>
      </c>
      <c r="BC60" s="6" t="n">
        <f aca="false">SQRT((H60-'MLB Archetypes'!$C$19)^2+(I60-'MLB Archetypes'!$D$19)^2+(J60-'MLB Archetypes'!$E$19)^2+(K60-'MLB Archetypes'!$F$19)^2)</f>
        <v>2.44948974278318</v>
      </c>
      <c r="BD60" s="4" t="str">
        <f aca="false">INDEX('MLB Archetypes'!$B$2:$B$19,MATCH(MIN(AL60:BC60),AL60:BC60,0))</f>
        <v>Cal Ripken Jr.</v>
      </c>
      <c r="BE60" s="7" t="n">
        <f aca="false">ROUND(10-MIN(AL60:BC60)/1.8,1)</f>
        <v>9.2</v>
      </c>
    </row>
    <row r="61" customFormat="false" ht="15" hidden="false" customHeight="false" outlineLevel="0" collapsed="false">
      <c r="A61" s="2" t="s">
        <v>127</v>
      </c>
      <c r="B61" s="2" t="s">
        <v>61</v>
      </c>
      <c r="C61" s="2" t="s">
        <v>127</v>
      </c>
      <c r="D61" s="2" t="s">
        <v>50</v>
      </c>
      <c r="E61" s="2" t="s">
        <v>50</v>
      </c>
      <c r="F61" s="2" t="s">
        <v>57</v>
      </c>
      <c r="G61" s="2" t="s">
        <v>52</v>
      </c>
      <c r="H61" s="3" t="n">
        <v>6</v>
      </c>
      <c r="I61" s="3" t="n">
        <v>10</v>
      </c>
      <c r="J61" s="3" t="n">
        <v>2</v>
      </c>
      <c r="K61" s="3" t="n">
        <v>1</v>
      </c>
      <c r="L61" s="4" t="n">
        <f aca="false">H61+I61+J61+K61</f>
        <v>19</v>
      </c>
      <c r="M61" s="4" t="n">
        <f aca="false">ROUND(0.75*I61+0.25*K61,2)</f>
        <v>7.75</v>
      </c>
      <c r="N61" s="4" t="n">
        <f aca="false">ROUND(0.7*J61+0.3*K61,2)</f>
        <v>1.7</v>
      </c>
      <c r="O61" s="4" t="n">
        <f aca="false">ROUND((H61+J61+K61)/3,2)</f>
        <v>3</v>
      </c>
      <c r="P61" s="4" t="n">
        <f aca="false">ROUND(0.85*H61+0.15*J61,2)</f>
        <v>5.4</v>
      </c>
      <c r="Q61" s="4" t="n">
        <f aca="false">ROUND(0.6*J61+0.3*I61+0.1*H61,2)</f>
        <v>4.8</v>
      </c>
      <c r="R61" s="4" t="n">
        <f aca="false">ROUND(0.7*I61+0.2*J61+0.1*K61,2)</f>
        <v>7.5</v>
      </c>
      <c r="S61" s="4" t="n">
        <f aca="false">ROUND(0.13*I61+0.35*J61+0.52*K61,2)</f>
        <v>2.52</v>
      </c>
      <c r="T61" s="4" t="n">
        <f aca="false">ROUND(0.4*I61+0.5*J61+0.1*K61,2)</f>
        <v>5.1</v>
      </c>
      <c r="U61" s="4" t="n">
        <f aca="false">ROUND(0.1*I61+0.55*J61+0.35*K61,2)</f>
        <v>2.45</v>
      </c>
      <c r="V61" s="4" t="n">
        <f aca="false">ROUND(0.6*I61+0.1*J61+0.3*K61,2)</f>
        <v>6.5</v>
      </c>
      <c r="W61" s="4" t="n">
        <f aca="false">ROUND(0.15*I61+0.3*J61+0.55*K61,2)</f>
        <v>2.65</v>
      </c>
      <c r="X61" s="4" t="n">
        <f aca="false">ROUND(0.46*I61+0.46*J61+0.08*K61,2)</f>
        <v>5.6</v>
      </c>
      <c r="Y61" s="4" t="str">
        <f aca="false">IF(H61=MAX(H61:K61),"Pitcher (arm-first)",IF(I61=MAX(H61:K61),"Bat-first (corner/1B/DH)",IF(J61=MAX(H61:K61),"Defense-first (up-the-middle)","Speed-first (CF/leadoff)")))</f>
        <v>Bat-first (corner/1B/DH)</v>
      </c>
      <c r="Z61" s="5" t="n">
        <f aca="false">P61</f>
        <v>5.4</v>
      </c>
      <c r="AA61" s="5" t="n">
        <f aca="false">IF(F61="Right",Q61,-1)</f>
        <v>-1</v>
      </c>
      <c r="AB61" s="5" t="n">
        <f aca="false">R61</f>
        <v>7.5</v>
      </c>
      <c r="AC61" s="5" t="n">
        <f aca="false">IF(F61="Right",S61,-1)</f>
        <v>-1</v>
      </c>
      <c r="AD61" s="5" t="n">
        <f aca="false">IF(F61="Right",T61,-1)</f>
        <v>-1</v>
      </c>
      <c r="AE61" s="5" t="n">
        <f aca="false">IF(F61="Right",U61,-1)</f>
        <v>-1</v>
      </c>
      <c r="AF61" s="5" t="n">
        <f aca="false">V61</f>
        <v>6.5</v>
      </c>
      <c r="AG61" s="5" t="n">
        <f aca="false">W61</f>
        <v>2.65</v>
      </c>
      <c r="AH61" s="5" t="n">
        <f aca="false">X61</f>
        <v>5.6</v>
      </c>
      <c r="AI61" s="4" t="str">
        <f aca="false">INDEX($Z$1:$AH$1,MATCH(MAX(Z61:AH61),Z61:AH61,0))</f>
        <v>1B</v>
      </c>
      <c r="AJ61" s="4" t="n">
        <f aca="false">MAX(Z61:AH61)</f>
        <v>7.5</v>
      </c>
      <c r="AK61" s="4" t="n">
        <f aca="false">SUMPRODUCT(($AI$2:$AI$73=AI61)*($AJ$2:$AJ$73&gt;AJ61))+SUMPRODUCT(($AI$2:$AI$73=AI61)*($AJ$2:$AJ$73=AJ61)*(ROW($AI$2:$AI$73)&lt;ROW(AI61)))+1</f>
        <v>4</v>
      </c>
      <c r="AL61" s="6" t="n">
        <f aca="false">SQRT((H61-'MLB Archetypes'!$C$2)^2+(I61-'MLB Archetypes'!$D$2)^2+(J61-'MLB Archetypes'!$E$2)^2+(K61-'MLB Archetypes'!$F$2)^2)</f>
        <v>9.64365076099296</v>
      </c>
      <c r="AM61" s="6" t="n">
        <f aca="false">SQRT((H61-'MLB Archetypes'!$C$3)^2+(I61-'MLB Archetypes'!$D$3)^2+(J61-'MLB Archetypes'!$E$3)^2+(K61-'MLB Archetypes'!$F$3)^2)</f>
        <v>8.83176086632785</v>
      </c>
      <c r="AN61" s="6" t="n">
        <f aca="false">SQRT((H61-'MLB Archetypes'!$C$4)^2+(I61-'MLB Archetypes'!$D$4)^2+(J61-'MLB Archetypes'!$E$4)^2+(K61-'MLB Archetypes'!$F$4)^2)</f>
        <v>8.83176086632785</v>
      </c>
      <c r="AO61" s="6" t="n">
        <f aca="false">SQRT((H61-'MLB Archetypes'!$C$5)^2+(I61-'MLB Archetypes'!$D$5)^2+(J61-'MLB Archetypes'!$E$5)^2+(K61-'MLB Archetypes'!$F$5)^2)</f>
        <v>8.77496438739212</v>
      </c>
      <c r="AP61" s="6" t="n">
        <f aca="false">SQRT((H61-'MLB Archetypes'!$C$6)^2+(I61-'MLB Archetypes'!$D$6)^2+(J61-'MLB Archetypes'!$E$6)^2+(K61-'MLB Archetypes'!$F$6)^2)</f>
        <v>6.08276253029822</v>
      </c>
      <c r="AQ61" s="6" t="n">
        <f aca="false">SQRT((H61-'MLB Archetypes'!$C$7)^2+(I61-'MLB Archetypes'!$D$7)^2+(J61-'MLB Archetypes'!$E$7)^2+(K61-'MLB Archetypes'!$F$7)^2)</f>
        <v>9.48683298050514</v>
      </c>
      <c r="AR61" s="6" t="n">
        <f aca="false">SQRT((H61-'MLB Archetypes'!$C$8)^2+(I61-'MLB Archetypes'!$D$8)^2+(J61-'MLB Archetypes'!$E$8)^2+(K61-'MLB Archetypes'!$F$8)^2)</f>
        <v>10.295630140987</v>
      </c>
      <c r="AS61" s="6" t="n">
        <f aca="false">SQRT((H61-'MLB Archetypes'!$C$9)^2+(I61-'MLB Archetypes'!$D$9)^2+(J61-'MLB Archetypes'!$E$9)^2+(K61-'MLB Archetypes'!$F$9)^2)</f>
        <v>9.2736184954957</v>
      </c>
      <c r="AT61" s="6" t="n">
        <f aca="false">SQRT((H61-'MLB Archetypes'!$C$10)^2+(I61-'MLB Archetypes'!$D$10)^2+(J61-'MLB Archetypes'!$E$10)^2+(K61-'MLB Archetypes'!$F$10)^2)</f>
        <v>8.06225774829855</v>
      </c>
      <c r="AU61" s="6" t="n">
        <f aca="false">SQRT((H61-'MLB Archetypes'!$C$11)^2+(I61-'MLB Archetypes'!$D$11)^2+(J61-'MLB Archetypes'!$E$11)^2+(K61-'MLB Archetypes'!$F$11)^2)</f>
        <v>6.48074069840786</v>
      </c>
      <c r="AV61" s="6" t="n">
        <f aca="false">SQRT((H61-'MLB Archetypes'!$C$12)^2+(I61-'MLB Archetypes'!$D$12)^2+(J61-'MLB Archetypes'!$E$12)^2+(K61-'MLB Archetypes'!$F$12)^2)</f>
        <v>12.8452325786651</v>
      </c>
      <c r="AW61" s="6" t="n">
        <f aca="false">SQRT((H61-'MLB Archetypes'!$C$13)^2+(I61-'MLB Archetypes'!$D$13)^2+(J61-'MLB Archetypes'!$E$13)^2+(K61-'MLB Archetypes'!$F$13)^2)</f>
        <v>7.34846922834953</v>
      </c>
      <c r="AX61" s="6" t="n">
        <f aca="false">SQRT((H61-'MLB Archetypes'!$C$14)^2+(I61-'MLB Archetypes'!$D$14)^2+(J61-'MLB Archetypes'!$E$14)^2+(K61-'MLB Archetypes'!$F$14)^2)</f>
        <v>7</v>
      </c>
      <c r="AY61" s="6" t="n">
        <f aca="false">SQRT((H61-'MLB Archetypes'!$C$15)^2+(I61-'MLB Archetypes'!$D$15)^2+(J61-'MLB Archetypes'!$E$15)^2+(K61-'MLB Archetypes'!$F$15)^2)</f>
        <v>11.0453610171873</v>
      </c>
      <c r="AZ61" s="6" t="n">
        <f aca="false">SQRT((H61-'MLB Archetypes'!$C$16)^2+(I61-'MLB Archetypes'!$D$16)^2+(J61-'MLB Archetypes'!$E$16)^2+(K61-'MLB Archetypes'!$F$16)^2)</f>
        <v>10.8627804912002</v>
      </c>
      <c r="BA61" s="6" t="n">
        <f aca="false">SQRT((H61-'MLB Archetypes'!$C$17)^2+(I61-'MLB Archetypes'!$D$17)^2+(J61-'MLB Archetypes'!$E$17)^2+(K61-'MLB Archetypes'!$F$17)^2)</f>
        <v>10.6770782520313</v>
      </c>
      <c r="BB61" s="6" t="n">
        <f aca="false">SQRT((H61-'MLB Archetypes'!$C$18)^2+(I61-'MLB Archetypes'!$D$18)^2+(J61-'MLB Archetypes'!$E$18)^2+(K61-'MLB Archetypes'!$F$18)^2)</f>
        <v>7</v>
      </c>
      <c r="BC61" s="6" t="n">
        <f aca="false">SQRT((H61-'MLB Archetypes'!$C$19)^2+(I61-'MLB Archetypes'!$D$19)^2+(J61-'MLB Archetypes'!$E$19)^2+(K61-'MLB Archetypes'!$F$19)^2)</f>
        <v>9.2736184954957</v>
      </c>
      <c r="BD61" s="4" t="str">
        <f aca="false">INDEX('MLB Archetypes'!$B$2:$B$19,MATCH(MIN(AL61:BC61),AL61:BC61,0))</f>
        <v>Albert Pujols</v>
      </c>
      <c r="BE61" s="7" t="n">
        <f aca="false">ROUND(10-MIN(AL61:BC61)/1.8,1)</f>
        <v>6.6</v>
      </c>
    </row>
    <row r="62" customFormat="false" ht="15" hidden="false" customHeight="false" outlineLevel="0" collapsed="false">
      <c r="A62" s="2" t="s">
        <v>128</v>
      </c>
      <c r="B62" s="2" t="s">
        <v>63</v>
      </c>
      <c r="C62" s="2" t="s">
        <v>129</v>
      </c>
      <c r="D62" s="2" t="s">
        <v>51</v>
      </c>
      <c r="E62" s="2" t="s">
        <v>50</v>
      </c>
      <c r="F62" s="2" t="s">
        <v>52</v>
      </c>
      <c r="G62" s="2" t="s">
        <v>52</v>
      </c>
      <c r="H62" s="3" t="n">
        <v>4</v>
      </c>
      <c r="I62" s="3" t="n">
        <v>7</v>
      </c>
      <c r="J62" s="3" t="n">
        <v>6</v>
      </c>
      <c r="K62" s="3" t="n">
        <v>3</v>
      </c>
      <c r="L62" s="4" t="n">
        <f aca="false">H62+I62+J62+K62</f>
        <v>20</v>
      </c>
      <c r="M62" s="4" t="n">
        <f aca="false">ROUND(0.75*I62+0.25*K62,2)</f>
        <v>6</v>
      </c>
      <c r="N62" s="4" t="n">
        <f aca="false">ROUND(0.7*J62+0.3*K62,2)</f>
        <v>5.1</v>
      </c>
      <c r="O62" s="4" t="n">
        <f aca="false">ROUND((H62+J62+K62)/3,2)</f>
        <v>4.33</v>
      </c>
      <c r="P62" s="4" t="n">
        <f aca="false">ROUND(0.85*H62+0.15*J62,2)</f>
        <v>4.3</v>
      </c>
      <c r="Q62" s="4" t="n">
        <f aca="false">ROUND(0.6*J62+0.3*I62+0.1*H62,2)</f>
        <v>6.1</v>
      </c>
      <c r="R62" s="4" t="n">
        <f aca="false">ROUND(0.7*I62+0.2*J62+0.1*K62,2)</f>
        <v>6.4</v>
      </c>
      <c r="S62" s="4" t="n">
        <f aca="false">ROUND(0.13*I62+0.35*J62+0.52*K62,2)</f>
        <v>4.57</v>
      </c>
      <c r="T62" s="4" t="n">
        <f aca="false">ROUND(0.4*I62+0.5*J62+0.1*K62,2)</f>
        <v>6.1</v>
      </c>
      <c r="U62" s="4" t="n">
        <f aca="false">ROUND(0.1*I62+0.55*J62+0.35*K62,2)</f>
        <v>5.05</v>
      </c>
      <c r="V62" s="4" t="n">
        <f aca="false">ROUND(0.6*I62+0.1*J62+0.3*K62,2)</f>
        <v>5.7</v>
      </c>
      <c r="W62" s="4" t="n">
        <f aca="false">ROUND(0.15*I62+0.3*J62+0.55*K62,2)</f>
        <v>4.5</v>
      </c>
      <c r="X62" s="4" t="n">
        <f aca="false">ROUND(0.46*I62+0.46*J62+0.08*K62,2)</f>
        <v>6.22</v>
      </c>
      <c r="Y62" s="4" t="str">
        <f aca="false">IF(H62=MAX(H62:K62),"Pitcher (arm-first)",IF(I62=MAX(H62:K62),"Bat-first (corner/1B/DH)",IF(J62=MAX(H62:K62),"Defense-first (up-the-middle)","Speed-first (CF/leadoff)")))</f>
        <v>Bat-first (corner/1B/DH)</v>
      </c>
      <c r="Z62" s="5" t="n">
        <f aca="false">P62</f>
        <v>4.3</v>
      </c>
      <c r="AA62" s="5" t="n">
        <f aca="false">IF(F62="Right",Q62,-1)</f>
        <v>6.1</v>
      </c>
      <c r="AB62" s="5" t="n">
        <f aca="false">R62</f>
        <v>6.4</v>
      </c>
      <c r="AC62" s="5" t="n">
        <f aca="false">IF(F62="Right",S62,-1)</f>
        <v>4.57</v>
      </c>
      <c r="AD62" s="5" t="n">
        <f aca="false">IF(F62="Right",T62,-1)</f>
        <v>6.1</v>
      </c>
      <c r="AE62" s="5" t="n">
        <f aca="false">IF(F62="Right",U62,-1)</f>
        <v>5.05</v>
      </c>
      <c r="AF62" s="5" t="n">
        <f aca="false">V62</f>
        <v>5.7</v>
      </c>
      <c r="AG62" s="5" t="n">
        <f aca="false">W62</f>
        <v>4.5</v>
      </c>
      <c r="AH62" s="5" t="n">
        <f aca="false">X62</f>
        <v>6.22</v>
      </c>
      <c r="AI62" s="4" t="str">
        <f aca="false">INDEX($Z$1:$AH$1,MATCH(MAX(Z62:AH62),Z62:AH62,0))</f>
        <v>1B</v>
      </c>
      <c r="AJ62" s="4" t="n">
        <f aca="false">MAX(Z62:AH62)</f>
        <v>6.4</v>
      </c>
      <c r="AK62" s="4" t="n">
        <f aca="false">SUMPRODUCT(($AI$2:$AI$73=AI62)*($AJ$2:$AJ$73&gt;AJ62))+SUMPRODUCT(($AI$2:$AI$73=AI62)*($AJ$2:$AJ$73=AJ62)*(ROW($AI$2:$AI$73)&lt;ROW(AI62)))+1</f>
        <v>13</v>
      </c>
      <c r="AL62" s="6" t="n">
        <f aca="false">SQRT((H62-'MLB Archetypes'!$C$2)^2+(I62-'MLB Archetypes'!$D$2)^2+(J62-'MLB Archetypes'!$E$2)^2+(K62-'MLB Archetypes'!$F$2)^2)</f>
        <v>7.87400787401181</v>
      </c>
      <c r="AM62" s="6" t="n">
        <f aca="false">SQRT((H62-'MLB Archetypes'!$C$3)^2+(I62-'MLB Archetypes'!$D$3)^2+(J62-'MLB Archetypes'!$E$3)^2+(K62-'MLB Archetypes'!$F$3)^2)</f>
        <v>6.40312423743285</v>
      </c>
      <c r="AN62" s="6" t="n">
        <f aca="false">SQRT((H62-'MLB Archetypes'!$C$4)^2+(I62-'MLB Archetypes'!$D$4)^2+(J62-'MLB Archetypes'!$E$4)^2+(K62-'MLB Archetypes'!$F$4)^2)</f>
        <v>3.60555127546399</v>
      </c>
      <c r="AO62" s="6" t="n">
        <f aca="false">SQRT((H62-'MLB Archetypes'!$C$5)^2+(I62-'MLB Archetypes'!$D$5)^2+(J62-'MLB Archetypes'!$E$5)^2+(K62-'MLB Archetypes'!$F$5)^2)</f>
        <v>3.16227766016838</v>
      </c>
      <c r="AP62" s="6" t="n">
        <f aca="false">SQRT((H62-'MLB Archetypes'!$C$6)^2+(I62-'MLB Archetypes'!$D$6)^2+(J62-'MLB Archetypes'!$E$6)^2+(K62-'MLB Archetypes'!$F$6)^2)</f>
        <v>2.82842712474619</v>
      </c>
      <c r="AQ62" s="6" t="n">
        <f aca="false">SQRT((H62-'MLB Archetypes'!$C$7)^2+(I62-'MLB Archetypes'!$D$7)^2+(J62-'MLB Archetypes'!$E$7)^2+(K62-'MLB Archetypes'!$F$7)^2)</f>
        <v>3.87298334620742</v>
      </c>
      <c r="AR62" s="6" t="n">
        <f aca="false">SQRT((H62-'MLB Archetypes'!$C$8)^2+(I62-'MLB Archetypes'!$D$8)^2+(J62-'MLB Archetypes'!$E$8)^2+(K62-'MLB Archetypes'!$F$8)^2)</f>
        <v>5.56776436283002</v>
      </c>
      <c r="AS62" s="6" t="n">
        <f aca="false">SQRT((H62-'MLB Archetypes'!$C$9)^2+(I62-'MLB Archetypes'!$D$9)^2+(J62-'MLB Archetypes'!$E$9)^2+(K62-'MLB Archetypes'!$F$9)^2)</f>
        <v>4.12310562561766</v>
      </c>
      <c r="AT62" s="6" t="n">
        <f aca="false">SQRT((H62-'MLB Archetypes'!$C$10)^2+(I62-'MLB Archetypes'!$D$10)^2+(J62-'MLB Archetypes'!$E$10)^2+(K62-'MLB Archetypes'!$F$10)^2)</f>
        <v>3.16227766016838</v>
      </c>
      <c r="AU62" s="6" t="n">
        <f aca="false">SQRT((H62-'MLB Archetypes'!$C$11)^2+(I62-'MLB Archetypes'!$D$11)^2+(J62-'MLB Archetypes'!$E$11)^2+(K62-'MLB Archetypes'!$F$11)^2)</f>
        <v>3</v>
      </c>
      <c r="AV62" s="6" t="n">
        <f aca="false">SQRT((H62-'MLB Archetypes'!$C$12)^2+(I62-'MLB Archetypes'!$D$12)^2+(J62-'MLB Archetypes'!$E$12)^2+(K62-'MLB Archetypes'!$F$12)^2)</f>
        <v>7.21110255092798</v>
      </c>
      <c r="AW62" s="6" t="n">
        <f aca="false">SQRT((H62-'MLB Archetypes'!$C$13)^2+(I62-'MLB Archetypes'!$D$13)^2+(J62-'MLB Archetypes'!$E$13)^2+(K62-'MLB Archetypes'!$F$13)^2)</f>
        <v>2.23606797749979</v>
      </c>
      <c r="AX62" s="6" t="n">
        <f aca="false">SQRT((H62-'MLB Archetypes'!$C$14)^2+(I62-'MLB Archetypes'!$D$14)^2+(J62-'MLB Archetypes'!$E$14)^2+(K62-'MLB Archetypes'!$F$14)^2)</f>
        <v>3.46410161513775</v>
      </c>
      <c r="AY62" s="6" t="n">
        <f aca="false">SQRT((H62-'MLB Archetypes'!$C$15)^2+(I62-'MLB Archetypes'!$D$15)^2+(J62-'MLB Archetypes'!$E$15)^2+(K62-'MLB Archetypes'!$F$15)^2)</f>
        <v>7.41619848709566</v>
      </c>
      <c r="AZ62" s="6" t="n">
        <f aca="false">SQRT((H62-'MLB Archetypes'!$C$16)^2+(I62-'MLB Archetypes'!$D$16)^2+(J62-'MLB Archetypes'!$E$16)^2+(K62-'MLB Archetypes'!$F$16)^2)</f>
        <v>6.2449979983984</v>
      </c>
      <c r="BA62" s="6" t="n">
        <f aca="false">SQRT((H62-'MLB Archetypes'!$C$17)^2+(I62-'MLB Archetypes'!$D$17)^2+(J62-'MLB Archetypes'!$E$17)^2+(K62-'MLB Archetypes'!$F$17)^2)</f>
        <v>6.40312423743285</v>
      </c>
      <c r="BB62" s="6" t="n">
        <f aca="false">SQRT((H62-'MLB Archetypes'!$C$18)^2+(I62-'MLB Archetypes'!$D$18)^2+(J62-'MLB Archetypes'!$E$18)^2+(K62-'MLB Archetypes'!$F$18)^2)</f>
        <v>3.46410161513775</v>
      </c>
      <c r="BC62" s="6" t="n">
        <f aca="false">SQRT((H62-'MLB Archetypes'!$C$19)^2+(I62-'MLB Archetypes'!$D$19)^2+(J62-'MLB Archetypes'!$E$19)^2+(K62-'MLB Archetypes'!$F$19)^2)</f>
        <v>4.12310562561766</v>
      </c>
      <c r="BD62" s="4" t="str">
        <f aca="false">INDEX('MLB Archetypes'!$B$2:$B$19,MATCH(MIN(AL62:BC62),AL62:BC62,0))</f>
        <v>Cal Ripken Jr.</v>
      </c>
      <c r="BE62" s="7" t="n">
        <f aca="false">ROUND(10-MIN(AL62:BC62)/1.8,1)</f>
        <v>8.8</v>
      </c>
    </row>
    <row r="63" customFormat="false" ht="15" hidden="false" customHeight="false" outlineLevel="0" collapsed="false">
      <c r="A63" s="2" t="s">
        <v>130</v>
      </c>
      <c r="B63" s="2" t="s">
        <v>63</v>
      </c>
      <c r="C63" s="2" t="s">
        <v>129</v>
      </c>
      <c r="D63" s="2" t="s">
        <v>51</v>
      </c>
      <c r="E63" s="2" t="s">
        <v>50</v>
      </c>
      <c r="F63" s="2" t="s">
        <v>52</v>
      </c>
      <c r="G63" s="2" t="s">
        <v>52</v>
      </c>
      <c r="H63" s="3" t="n">
        <v>3</v>
      </c>
      <c r="I63" s="3" t="n">
        <v>8</v>
      </c>
      <c r="J63" s="3" t="n">
        <v>6</v>
      </c>
      <c r="K63" s="3" t="n">
        <v>3</v>
      </c>
      <c r="L63" s="4" t="n">
        <f aca="false">H63+I63+J63+K63</f>
        <v>20</v>
      </c>
      <c r="M63" s="4" t="n">
        <f aca="false">ROUND(0.75*I63+0.25*K63,2)</f>
        <v>6.75</v>
      </c>
      <c r="N63" s="4" t="n">
        <f aca="false">ROUND(0.7*J63+0.3*K63,2)</f>
        <v>5.1</v>
      </c>
      <c r="O63" s="4" t="n">
        <f aca="false">ROUND((H63+J63+K63)/3,2)</f>
        <v>4</v>
      </c>
      <c r="P63" s="4" t="n">
        <f aca="false">ROUND(0.85*H63+0.15*J63,2)</f>
        <v>3.45</v>
      </c>
      <c r="Q63" s="4" t="n">
        <f aca="false">ROUND(0.6*J63+0.3*I63+0.1*H63,2)</f>
        <v>6.3</v>
      </c>
      <c r="R63" s="4" t="n">
        <f aca="false">ROUND(0.7*I63+0.2*J63+0.1*K63,2)</f>
        <v>7.1</v>
      </c>
      <c r="S63" s="4" t="n">
        <f aca="false">ROUND(0.13*I63+0.35*J63+0.52*K63,2)</f>
        <v>4.7</v>
      </c>
      <c r="T63" s="4" t="n">
        <f aca="false">ROUND(0.4*I63+0.5*J63+0.1*K63,2)</f>
        <v>6.5</v>
      </c>
      <c r="U63" s="4" t="n">
        <f aca="false">ROUND(0.1*I63+0.55*J63+0.35*K63,2)</f>
        <v>5.15</v>
      </c>
      <c r="V63" s="4" t="n">
        <f aca="false">ROUND(0.6*I63+0.1*J63+0.3*K63,2)</f>
        <v>6.3</v>
      </c>
      <c r="W63" s="4" t="n">
        <f aca="false">ROUND(0.15*I63+0.3*J63+0.55*K63,2)</f>
        <v>4.65</v>
      </c>
      <c r="X63" s="4" t="n">
        <f aca="false">ROUND(0.46*I63+0.46*J63+0.08*K63,2)</f>
        <v>6.68</v>
      </c>
      <c r="Y63" s="4" t="str">
        <f aca="false">IF(H63=MAX(H63:K63),"Pitcher (arm-first)",IF(I63=MAX(H63:K63),"Bat-first (corner/1B/DH)",IF(J63=MAX(H63:K63),"Defense-first (up-the-middle)","Speed-first (CF/leadoff)")))</f>
        <v>Bat-first (corner/1B/DH)</v>
      </c>
      <c r="Z63" s="5" t="n">
        <f aca="false">P63</f>
        <v>3.45</v>
      </c>
      <c r="AA63" s="5" t="n">
        <f aca="false">IF(F63="Right",Q63,-1)</f>
        <v>6.3</v>
      </c>
      <c r="AB63" s="5" t="n">
        <f aca="false">R63</f>
        <v>7.1</v>
      </c>
      <c r="AC63" s="5" t="n">
        <f aca="false">IF(F63="Right",S63,-1)</f>
        <v>4.7</v>
      </c>
      <c r="AD63" s="5" t="n">
        <f aca="false">IF(F63="Right",T63,-1)</f>
        <v>6.5</v>
      </c>
      <c r="AE63" s="5" t="n">
        <f aca="false">IF(F63="Right",U63,-1)</f>
        <v>5.15</v>
      </c>
      <c r="AF63" s="5" t="n">
        <f aca="false">V63</f>
        <v>6.3</v>
      </c>
      <c r="AG63" s="5" t="n">
        <f aca="false">W63</f>
        <v>4.65</v>
      </c>
      <c r="AH63" s="5" t="n">
        <f aca="false">X63</f>
        <v>6.68</v>
      </c>
      <c r="AI63" s="4" t="str">
        <f aca="false">INDEX($Z$1:$AH$1,MATCH(MAX(Z63:AH63),Z63:AH63,0))</f>
        <v>1B</v>
      </c>
      <c r="AJ63" s="4" t="n">
        <f aca="false">MAX(Z63:AH63)</f>
        <v>7.1</v>
      </c>
      <c r="AK63" s="4" t="n">
        <f aca="false">SUMPRODUCT(($AI$2:$AI$73=AI63)*($AJ$2:$AJ$73&gt;AJ63))+SUMPRODUCT(($AI$2:$AI$73=AI63)*($AJ$2:$AJ$73=AJ63)*(ROW($AI$2:$AI$73)&lt;ROW(AI63)))+1</f>
        <v>8</v>
      </c>
      <c r="AL63" s="6" t="n">
        <f aca="false">SQRT((H63-'MLB Archetypes'!$C$2)^2+(I63-'MLB Archetypes'!$D$2)^2+(J63-'MLB Archetypes'!$E$2)^2+(K63-'MLB Archetypes'!$F$2)^2)</f>
        <v>9.2736184954957</v>
      </c>
      <c r="AM63" s="6" t="n">
        <f aca="false">SQRT((H63-'MLB Archetypes'!$C$3)^2+(I63-'MLB Archetypes'!$D$3)^2+(J63-'MLB Archetypes'!$E$3)^2+(K63-'MLB Archetypes'!$F$3)^2)</f>
        <v>7.81024967590665</v>
      </c>
      <c r="AN63" s="6" t="n">
        <f aca="false">SQRT((H63-'MLB Archetypes'!$C$4)^2+(I63-'MLB Archetypes'!$D$4)^2+(J63-'MLB Archetypes'!$E$4)^2+(K63-'MLB Archetypes'!$F$4)^2)</f>
        <v>3.3166247903554</v>
      </c>
      <c r="AO63" s="6" t="n">
        <f aca="false">SQRT((H63-'MLB Archetypes'!$C$5)^2+(I63-'MLB Archetypes'!$D$5)^2+(J63-'MLB Archetypes'!$E$5)^2+(K63-'MLB Archetypes'!$F$5)^2)</f>
        <v>3.16227766016838</v>
      </c>
      <c r="AP63" s="6" t="n">
        <f aca="false">SQRT((H63-'MLB Archetypes'!$C$6)^2+(I63-'MLB Archetypes'!$D$6)^2+(J63-'MLB Archetypes'!$E$6)^2+(K63-'MLB Archetypes'!$F$6)^2)</f>
        <v>1.4142135623731</v>
      </c>
      <c r="AQ63" s="6" t="n">
        <f aca="false">SQRT((H63-'MLB Archetypes'!$C$7)^2+(I63-'MLB Archetypes'!$D$7)^2+(J63-'MLB Archetypes'!$E$7)^2+(K63-'MLB Archetypes'!$F$7)^2)</f>
        <v>3.87298334620742</v>
      </c>
      <c r="AR63" s="6" t="n">
        <f aca="false">SQRT((H63-'MLB Archetypes'!$C$8)^2+(I63-'MLB Archetypes'!$D$8)^2+(J63-'MLB Archetypes'!$E$8)^2+(K63-'MLB Archetypes'!$F$8)^2)</f>
        <v>5.56776436283002</v>
      </c>
      <c r="AS63" s="6" t="n">
        <f aca="false">SQRT((H63-'MLB Archetypes'!$C$9)^2+(I63-'MLB Archetypes'!$D$9)^2+(J63-'MLB Archetypes'!$E$9)^2+(K63-'MLB Archetypes'!$F$9)^2)</f>
        <v>3.87298334620742</v>
      </c>
      <c r="AT63" s="6" t="n">
        <f aca="false">SQRT((H63-'MLB Archetypes'!$C$10)^2+(I63-'MLB Archetypes'!$D$10)^2+(J63-'MLB Archetypes'!$E$10)^2+(K63-'MLB Archetypes'!$F$10)^2)</f>
        <v>2.44948974278318</v>
      </c>
      <c r="AU63" s="6" t="n">
        <f aca="false">SQRT((H63-'MLB Archetypes'!$C$11)^2+(I63-'MLB Archetypes'!$D$11)^2+(J63-'MLB Archetypes'!$E$11)^2+(K63-'MLB Archetypes'!$F$11)^2)</f>
        <v>1.73205080756888</v>
      </c>
      <c r="AV63" s="6" t="n">
        <f aca="false">SQRT((H63-'MLB Archetypes'!$C$12)^2+(I63-'MLB Archetypes'!$D$12)^2+(J63-'MLB Archetypes'!$E$12)^2+(K63-'MLB Archetypes'!$F$12)^2)</f>
        <v>7.61577310586391</v>
      </c>
      <c r="AW63" s="6" t="n">
        <f aca="false">SQRT((H63-'MLB Archetypes'!$C$13)^2+(I63-'MLB Archetypes'!$D$13)^2+(J63-'MLB Archetypes'!$E$13)^2+(K63-'MLB Archetypes'!$F$13)^2)</f>
        <v>1.73205080756888</v>
      </c>
      <c r="AX63" s="6" t="n">
        <f aca="false">SQRT((H63-'MLB Archetypes'!$C$14)^2+(I63-'MLB Archetypes'!$D$14)^2+(J63-'MLB Archetypes'!$E$14)^2+(K63-'MLB Archetypes'!$F$14)^2)</f>
        <v>2.44948974278318</v>
      </c>
      <c r="AY63" s="6" t="n">
        <f aca="false">SQRT((H63-'MLB Archetypes'!$C$15)^2+(I63-'MLB Archetypes'!$D$15)^2+(J63-'MLB Archetypes'!$E$15)^2+(K63-'MLB Archetypes'!$F$15)^2)</f>
        <v>7.41619848709566</v>
      </c>
      <c r="AZ63" s="6" t="n">
        <f aca="false">SQRT((H63-'MLB Archetypes'!$C$16)^2+(I63-'MLB Archetypes'!$D$16)^2+(J63-'MLB Archetypes'!$E$16)^2+(K63-'MLB Archetypes'!$F$16)^2)</f>
        <v>5.91607978309962</v>
      </c>
      <c r="BA63" s="6" t="n">
        <f aca="false">SQRT((H63-'MLB Archetypes'!$C$17)^2+(I63-'MLB Archetypes'!$D$17)^2+(J63-'MLB Archetypes'!$E$17)^2+(K63-'MLB Archetypes'!$F$17)^2)</f>
        <v>6.2449979983984</v>
      </c>
      <c r="BB63" s="6" t="n">
        <f aca="false">SQRT((H63-'MLB Archetypes'!$C$18)^2+(I63-'MLB Archetypes'!$D$18)^2+(J63-'MLB Archetypes'!$E$18)^2+(K63-'MLB Archetypes'!$F$18)^2)</f>
        <v>2.44948974278318</v>
      </c>
      <c r="BC63" s="6" t="n">
        <f aca="false">SQRT((H63-'MLB Archetypes'!$C$19)^2+(I63-'MLB Archetypes'!$D$19)^2+(J63-'MLB Archetypes'!$E$19)^2+(K63-'MLB Archetypes'!$F$19)^2)</f>
        <v>3.87298334620742</v>
      </c>
      <c r="BD63" s="4" t="str">
        <f aca="false">INDEX('MLB Archetypes'!$B$2:$B$19,MATCH(MIN(AL63:BC63),AL63:BC63,0))</f>
        <v>Albert Pujols</v>
      </c>
      <c r="BE63" s="7" t="n">
        <f aca="false">ROUND(10-MIN(AL63:BC63)/1.8,1)</f>
        <v>9.2</v>
      </c>
    </row>
    <row r="64" customFormat="false" ht="15" hidden="false" customHeight="false" outlineLevel="0" collapsed="false">
      <c r="A64" s="2" t="s">
        <v>131</v>
      </c>
      <c r="B64" s="2" t="s">
        <v>63</v>
      </c>
      <c r="C64" s="2" t="s">
        <v>129</v>
      </c>
      <c r="D64" s="2" t="s">
        <v>51</v>
      </c>
      <c r="E64" s="2" t="s">
        <v>50</v>
      </c>
      <c r="F64" s="2" t="s">
        <v>52</v>
      </c>
      <c r="G64" s="2" t="s">
        <v>52</v>
      </c>
      <c r="H64" s="3" t="n">
        <v>5</v>
      </c>
      <c r="I64" s="3" t="n">
        <v>7</v>
      </c>
      <c r="J64" s="3" t="n">
        <v>5</v>
      </c>
      <c r="K64" s="3" t="n">
        <v>3</v>
      </c>
      <c r="L64" s="4" t="n">
        <f aca="false">H64+I64+J64+K64</f>
        <v>20</v>
      </c>
      <c r="M64" s="4" t="n">
        <f aca="false">ROUND(0.75*I64+0.25*K64,2)</f>
        <v>6</v>
      </c>
      <c r="N64" s="4" t="n">
        <f aca="false">ROUND(0.7*J64+0.3*K64,2)</f>
        <v>4.4</v>
      </c>
      <c r="O64" s="4" t="n">
        <f aca="false">ROUND((H64+J64+K64)/3,2)</f>
        <v>4.33</v>
      </c>
      <c r="P64" s="4" t="n">
        <f aca="false">ROUND(0.85*H64+0.15*J64,2)</f>
        <v>5</v>
      </c>
      <c r="Q64" s="4" t="n">
        <f aca="false">ROUND(0.6*J64+0.3*I64+0.1*H64,2)</f>
        <v>5.6</v>
      </c>
      <c r="R64" s="4" t="n">
        <f aca="false">ROUND(0.7*I64+0.2*J64+0.1*K64,2)</f>
        <v>6.2</v>
      </c>
      <c r="S64" s="4" t="n">
        <f aca="false">ROUND(0.13*I64+0.35*J64+0.52*K64,2)</f>
        <v>4.22</v>
      </c>
      <c r="T64" s="4" t="n">
        <f aca="false">ROUND(0.4*I64+0.5*J64+0.1*K64,2)</f>
        <v>5.6</v>
      </c>
      <c r="U64" s="4" t="n">
        <f aca="false">ROUND(0.1*I64+0.55*J64+0.35*K64,2)</f>
        <v>4.5</v>
      </c>
      <c r="V64" s="4" t="n">
        <f aca="false">ROUND(0.6*I64+0.1*J64+0.3*K64,2)</f>
        <v>5.6</v>
      </c>
      <c r="W64" s="4" t="n">
        <f aca="false">ROUND(0.15*I64+0.3*J64+0.55*K64,2)</f>
        <v>4.2</v>
      </c>
      <c r="X64" s="4" t="n">
        <f aca="false">ROUND(0.46*I64+0.46*J64+0.08*K64,2)</f>
        <v>5.76</v>
      </c>
      <c r="Y64" s="4" t="str">
        <f aca="false">IF(H64=MAX(H64:K64),"Pitcher (arm-first)",IF(I64=MAX(H64:K64),"Bat-first (corner/1B/DH)",IF(J64=MAX(H64:K64),"Defense-first (up-the-middle)","Speed-first (CF/leadoff)")))</f>
        <v>Bat-first (corner/1B/DH)</v>
      </c>
      <c r="Z64" s="5" t="n">
        <f aca="false">P64</f>
        <v>5</v>
      </c>
      <c r="AA64" s="5" t="n">
        <f aca="false">IF(F64="Right",Q64,-1)</f>
        <v>5.6</v>
      </c>
      <c r="AB64" s="5" t="n">
        <f aca="false">R64</f>
        <v>6.2</v>
      </c>
      <c r="AC64" s="5" t="n">
        <f aca="false">IF(F64="Right",S64,-1)</f>
        <v>4.22</v>
      </c>
      <c r="AD64" s="5" t="n">
        <f aca="false">IF(F64="Right",T64,-1)</f>
        <v>5.6</v>
      </c>
      <c r="AE64" s="5" t="n">
        <f aca="false">IF(F64="Right",U64,-1)</f>
        <v>4.5</v>
      </c>
      <c r="AF64" s="5" t="n">
        <f aca="false">V64</f>
        <v>5.6</v>
      </c>
      <c r="AG64" s="5" t="n">
        <f aca="false">W64</f>
        <v>4.2</v>
      </c>
      <c r="AH64" s="5" t="n">
        <f aca="false">X64</f>
        <v>5.76</v>
      </c>
      <c r="AI64" s="4" t="str">
        <f aca="false">INDEX($Z$1:$AH$1,MATCH(MAX(Z64:AH64),Z64:AH64,0))</f>
        <v>1B</v>
      </c>
      <c r="AJ64" s="4" t="n">
        <f aca="false">MAX(Z64:AH64)</f>
        <v>6.2</v>
      </c>
      <c r="AK64" s="4" t="n">
        <f aca="false">SUMPRODUCT(($AI$2:$AI$73=AI64)*($AJ$2:$AJ$73&gt;AJ64))+SUMPRODUCT(($AI$2:$AI$73=AI64)*($AJ$2:$AJ$73=AJ64)*(ROW($AI$2:$AI$73)&lt;ROW(AI64)))+1</f>
        <v>15</v>
      </c>
      <c r="AL64" s="6" t="n">
        <f aca="false">SQRT((H64-'MLB Archetypes'!$C$2)^2+(I64-'MLB Archetypes'!$D$2)^2+(J64-'MLB Archetypes'!$E$2)^2+(K64-'MLB Archetypes'!$F$2)^2)</f>
        <v>7.07106781186548</v>
      </c>
      <c r="AM64" s="6" t="n">
        <f aca="false">SQRT((H64-'MLB Archetypes'!$C$3)^2+(I64-'MLB Archetypes'!$D$3)^2+(J64-'MLB Archetypes'!$E$3)^2+(K64-'MLB Archetypes'!$F$3)^2)</f>
        <v>5.74456264653803</v>
      </c>
      <c r="AN64" s="6" t="n">
        <f aca="false">SQRT((H64-'MLB Archetypes'!$C$4)^2+(I64-'MLB Archetypes'!$D$4)^2+(J64-'MLB Archetypes'!$E$4)^2+(K64-'MLB Archetypes'!$F$4)^2)</f>
        <v>5</v>
      </c>
      <c r="AO64" s="6" t="n">
        <f aca="false">SQRT((H64-'MLB Archetypes'!$C$5)^2+(I64-'MLB Archetypes'!$D$5)^2+(J64-'MLB Archetypes'!$E$5)^2+(K64-'MLB Archetypes'!$F$5)^2)</f>
        <v>4.47213595499958</v>
      </c>
      <c r="AP64" s="6" t="n">
        <f aca="false">SQRT((H64-'MLB Archetypes'!$C$6)^2+(I64-'MLB Archetypes'!$D$6)^2+(J64-'MLB Archetypes'!$E$6)^2+(K64-'MLB Archetypes'!$F$6)^2)</f>
        <v>3.74165738677394</v>
      </c>
      <c r="AQ64" s="6" t="n">
        <f aca="false">SQRT((H64-'MLB Archetypes'!$C$7)^2+(I64-'MLB Archetypes'!$D$7)^2+(J64-'MLB Archetypes'!$E$7)^2+(K64-'MLB Archetypes'!$F$7)^2)</f>
        <v>5.19615242270663</v>
      </c>
      <c r="AR64" s="6" t="n">
        <f aca="false">SQRT((H64-'MLB Archetypes'!$C$8)^2+(I64-'MLB Archetypes'!$D$8)^2+(J64-'MLB Archetypes'!$E$8)^2+(K64-'MLB Archetypes'!$F$8)^2)</f>
        <v>6.2449979983984</v>
      </c>
      <c r="AS64" s="6" t="n">
        <f aca="false">SQRT((H64-'MLB Archetypes'!$C$9)^2+(I64-'MLB Archetypes'!$D$9)^2+(J64-'MLB Archetypes'!$E$9)^2+(K64-'MLB Archetypes'!$F$9)^2)</f>
        <v>5.19615242270663</v>
      </c>
      <c r="AT64" s="6" t="n">
        <f aca="false">SQRT((H64-'MLB Archetypes'!$C$10)^2+(I64-'MLB Archetypes'!$D$10)^2+(J64-'MLB Archetypes'!$E$10)^2+(K64-'MLB Archetypes'!$F$10)^2)</f>
        <v>4.47213595499958</v>
      </c>
      <c r="AU64" s="6" t="n">
        <f aca="false">SQRT((H64-'MLB Archetypes'!$C$11)^2+(I64-'MLB Archetypes'!$D$11)^2+(J64-'MLB Archetypes'!$E$11)^2+(K64-'MLB Archetypes'!$F$11)^2)</f>
        <v>3.87298334620742</v>
      </c>
      <c r="AV64" s="6" t="n">
        <f aca="false">SQRT((H64-'MLB Archetypes'!$C$12)^2+(I64-'MLB Archetypes'!$D$12)^2+(J64-'MLB Archetypes'!$E$12)^2+(K64-'MLB Archetypes'!$F$12)^2)</f>
        <v>8.12403840463596</v>
      </c>
      <c r="AW64" s="6" t="n">
        <f aca="false">SQRT((H64-'MLB Archetypes'!$C$13)^2+(I64-'MLB Archetypes'!$D$13)^2+(J64-'MLB Archetypes'!$E$13)^2+(K64-'MLB Archetypes'!$F$13)^2)</f>
        <v>3.60555127546399</v>
      </c>
      <c r="AX64" s="6" t="n">
        <f aca="false">SQRT((H64-'MLB Archetypes'!$C$14)^2+(I64-'MLB Archetypes'!$D$14)^2+(J64-'MLB Archetypes'!$E$14)^2+(K64-'MLB Archetypes'!$F$14)^2)</f>
        <v>4.24264068711929</v>
      </c>
      <c r="AY64" s="6" t="n">
        <f aca="false">SQRT((H64-'MLB Archetypes'!$C$15)^2+(I64-'MLB Archetypes'!$D$15)^2+(J64-'MLB Archetypes'!$E$15)^2+(K64-'MLB Archetypes'!$F$15)^2)</f>
        <v>7.68114574786861</v>
      </c>
      <c r="AZ64" s="6" t="n">
        <f aca="false">SQRT((H64-'MLB Archetypes'!$C$16)^2+(I64-'MLB Archetypes'!$D$16)^2+(J64-'MLB Archetypes'!$E$16)^2+(K64-'MLB Archetypes'!$F$16)^2)</f>
        <v>7.14142842854285</v>
      </c>
      <c r="BA64" s="6" t="n">
        <f aca="false">SQRT((H64-'MLB Archetypes'!$C$17)^2+(I64-'MLB Archetypes'!$D$17)^2+(J64-'MLB Archetypes'!$E$17)^2+(K64-'MLB Archetypes'!$F$17)^2)</f>
        <v>7</v>
      </c>
      <c r="BB64" s="6" t="n">
        <f aca="false">SQRT((H64-'MLB Archetypes'!$C$18)^2+(I64-'MLB Archetypes'!$D$18)^2+(J64-'MLB Archetypes'!$E$18)^2+(K64-'MLB Archetypes'!$F$18)^2)</f>
        <v>4.24264068711929</v>
      </c>
      <c r="BC64" s="6" t="n">
        <f aca="false">SQRT((H64-'MLB Archetypes'!$C$19)^2+(I64-'MLB Archetypes'!$D$19)^2+(J64-'MLB Archetypes'!$E$19)^2+(K64-'MLB Archetypes'!$F$19)^2)</f>
        <v>5.19615242270663</v>
      </c>
      <c r="BD64" s="4" t="str">
        <f aca="false">INDEX('MLB Archetypes'!$B$2:$B$19,MATCH(MIN(AL64:BC64),AL64:BC64,0))</f>
        <v>Cal Ripken Jr.</v>
      </c>
      <c r="BE64" s="7" t="n">
        <f aca="false">ROUND(10-MIN(AL64:BC64)/1.8,1)</f>
        <v>8</v>
      </c>
    </row>
    <row r="65" customFormat="false" ht="15" hidden="false" customHeight="false" outlineLevel="0" collapsed="false">
      <c r="A65" s="2" t="s">
        <v>132</v>
      </c>
      <c r="B65" s="2" t="s">
        <v>63</v>
      </c>
      <c r="C65" s="2" t="s">
        <v>132</v>
      </c>
      <c r="D65" s="2" t="s">
        <v>51</v>
      </c>
      <c r="E65" s="2" t="s">
        <v>50</v>
      </c>
      <c r="F65" s="2" t="s">
        <v>52</v>
      </c>
      <c r="G65" s="2" t="s">
        <v>57</v>
      </c>
      <c r="H65" s="3" t="n">
        <v>8</v>
      </c>
      <c r="I65" s="3" t="n">
        <v>2</v>
      </c>
      <c r="J65" s="3" t="n">
        <v>8</v>
      </c>
      <c r="K65" s="3" t="n">
        <v>2</v>
      </c>
      <c r="L65" s="4" t="n">
        <f aca="false">H65+I65+J65+K65</f>
        <v>20</v>
      </c>
      <c r="M65" s="4" t="n">
        <f aca="false">ROUND(0.75*I65+0.25*K65,2)</f>
        <v>2</v>
      </c>
      <c r="N65" s="4" t="n">
        <f aca="false">ROUND(0.7*J65+0.3*K65,2)</f>
        <v>6.2</v>
      </c>
      <c r="O65" s="4" t="n">
        <f aca="false">ROUND((H65+J65+K65)/3,2)</f>
        <v>6</v>
      </c>
      <c r="P65" s="4" t="n">
        <f aca="false">ROUND(0.85*H65+0.15*J65,2)</f>
        <v>8</v>
      </c>
      <c r="Q65" s="4" t="n">
        <f aca="false">ROUND(0.6*J65+0.3*I65+0.1*H65,2)</f>
        <v>6.2</v>
      </c>
      <c r="R65" s="4" t="n">
        <f aca="false">ROUND(0.7*I65+0.2*J65+0.1*K65,2)</f>
        <v>3.2</v>
      </c>
      <c r="S65" s="4" t="n">
        <f aca="false">ROUND(0.13*I65+0.35*J65+0.52*K65,2)</f>
        <v>4.1</v>
      </c>
      <c r="T65" s="4" t="n">
        <f aca="false">ROUND(0.4*I65+0.5*J65+0.1*K65,2)</f>
        <v>5</v>
      </c>
      <c r="U65" s="4" t="n">
        <f aca="false">ROUND(0.1*I65+0.55*J65+0.35*K65,2)</f>
        <v>5.3</v>
      </c>
      <c r="V65" s="4" t="n">
        <f aca="false">ROUND(0.6*I65+0.1*J65+0.3*K65,2)</f>
        <v>2.6</v>
      </c>
      <c r="W65" s="4" t="n">
        <f aca="false">ROUND(0.15*I65+0.3*J65+0.55*K65,2)</f>
        <v>3.8</v>
      </c>
      <c r="X65" s="4" t="n">
        <f aca="false">ROUND(0.46*I65+0.46*J65+0.08*K65,2)</f>
        <v>4.76</v>
      </c>
      <c r="Y65" s="4" t="str">
        <f aca="false">IF(H65=MAX(H65:K65),"Pitcher (arm-first)",IF(I65=MAX(H65:K65),"Bat-first (corner/1B/DH)",IF(J65=MAX(H65:K65),"Defense-first (up-the-middle)","Speed-first (CF/leadoff)")))</f>
        <v>Pitcher (arm-first)</v>
      </c>
      <c r="Z65" s="5" t="n">
        <f aca="false">P65</f>
        <v>8</v>
      </c>
      <c r="AA65" s="5" t="n">
        <f aca="false">IF(F65="Right",Q65,-1)</f>
        <v>6.2</v>
      </c>
      <c r="AB65" s="5" t="n">
        <f aca="false">R65</f>
        <v>3.2</v>
      </c>
      <c r="AC65" s="5" t="n">
        <f aca="false">IF(F65="Right",S65,-1)</f>
        <v>4.1</v>
      </c>
      <c r="AD65" s="5" t="n">
        <f aca="false">IF(F65="Right",T65,-1)</f>
        <v>5</v>
      </c>
      <c r="AE65" s="5" t="n">
        <f aca="false">IF(F65="Right",U65,-1)</f>
        <v>5.3</v>
      </c>
      <c r="AF65" s="5" t="n">
        <f aca="false">V65</f>
        <v>2.6</v>
      </c>
      <c r="AG65" s="5" t="n">
        <f aca="false">W65</f>
        <v>3.8</v>
      </c>
      <c r="AH65" s="5" t="n">
        <f aca="false">X65</f>
        <v>4.76</v>
      </c>
      <c r="AI65" s="4" t="str">
        <f aca="false">INDEX($Z$1:$AH$1,MATCH(MAX(Z65:AH65),Z65:AH65,0))</f>
        <v>P</v>
      </c>
      <c r="AJ65" s="4" t="n">
        <f aca="false">MAX(Z65:AH65)</f>
        <v>8</v>
      </c>
      <c r="AK65" s="4" t="n">
        <f aca="false">SUMPRODUCT(($AI$2:$AI$73=AI65)*($AJ$2:$AJ$73&gt;AJ65))+SUMPRODUCT(($AI$2:$AI$73=AI65)*($AJ$2:$AJ$73=AJ65)*(ROW($AI$2:$AI$73)&lt;ROW(AI65)))+1</f>
        <v>4</v>
      </c>
      <c r="AL65" s="6" t="n">
        <f aca="false">SQRT((H65-'MLB Archetypes'!$C$2)^2+(I65-'MLB Archetypes'!$D$2)^2+(J65-'MLB Archetypes'!$E$2)^2+(K65-'MLB Archetypes'!$F$2)^2)</f>
        <v>3.74165738677394</v>
      </c>
      <c r="AM65" s="6" t="n">
        <f aca="false">SQRT((H65-'MLB Archetypes'!$C$3)^2+(I65-'MLB Archetypes'!$D$3)^2+(J65-'MLB Archetypes'!$E$3)^2+(K65-'MLB Archetypes'!$F$3)^2)</f>
        <v>2.64575131106459</v>
      </c>
      <c r="AN65" s="6" t="n">
        <f aca="false">SQRT((H65-'MLB Archetypes'!$C$4)^2+(I65-'MLB Archetypes'!$D$4)^2+(J65-'MLB Archetypes'!$E$4)^2+(K65-'MLB Archetypes'!$F$4)^2)</f>
        <v>7.93725393319377</v>
      </c>
      <c r="AO65" s="6" t="n">
        <f aca="false">SQRT((H65-'MLB Archetypes'!$C$5)^2+(I65-'MLB Archetypes'!$D$5)^2+(J65-'MLB Archetypes'!$E$5)^2+(K65-'MLB Archetypes'!$F$5)^2)</f>
        <v>7.48331477354788</v>
      </c>
      <c r="AP65" s="6" t="n">
        <f aca="false">SQRT((H65-'MLB Archetypes'!$C$6)^2+(I65-'MLB Archetypes'!$D$6)^2+(J65-'MLB Archetypes'!$E$6)^2+(K65-'MLB Archetypes'!$F$6)^2)</f>
        <v>9.48683298050514</v>
      </c>
      <c r="AQ65" s="6" t="n">
        <f aca="false">SQRT((H65-'MLB Archetypes'!$C$7)^2+(I65-'MLB Archetypes'!$D$7)^2+(J65-'MLB Archetypes'!$E$7)^2+(K65-'MLB Archetypes'!$F$7)^2)</f>
        <v>7.54983443527075</v>
      </c>
      <c r="AR65" s="6" t="n">
        <f aca="false">SQRT((H65-'MLB Archetypes'!$C$8)^2+(I65-'MLB Archetypes'!$D$8)^2+(J65-'MLB Archetypes'!$E$8)^2+(K65-'MLB Archetypes'!$F$8)^2)</f>
        <v>9.4339811320566</v>
      </c>
      <c r="AS65" s="6" t="n">
        <f aca="false">SQRT((H65-'MLB Archetypes'!$C$9)^2+(I65-'MLB Archetypes'!$D$9)^2+(J65-'MLB Archetypes'!$E$9)^2+(K65-'MLB Archetypes'!$F$9)^2)</f>
        <v>8.77496438739212</v>
      </c>
      <c r="AT65" s="6" t="n">
        <f aca="false">SQRT((H65-'MLB Archetypes'!$C$10)^2+(I65-'MLB Archetypes'!$D$10)^2+(J65-'MLB Archetypes'!$E$10)^2+(K65-'MLB Archetypes'!$F$10)^2)</f>
        <v>8.71779788708135</v>
      </c>
      <c r="AU65" s="6" t="n">
        <f aca="false">SQRT((H65-'MLB Archetypes'!$C$11)^2+(I65-'MLB Archetypes'!$D$11)^2+(J65-'MLB Archetypes'!$E$11)^2+(K65-'MLB Archetypes'!$F$11)^2)</f>
        <v>9.64365076099296</v>
      </c>
      <c r="AV65" s="6" t="n">
        <f aca="false">SQRT((H65-'MLB Archetypes'!$C$12)^2+(I65-'MLB Archetypes'!$D$12)^2+(J65-'MLB Archetypes'!$E$12)^2+(K65-'MLB Archetypes'!$F$12)^2)</f>
        <v>8.12403840463596</v>
      </c>
      <c r="AW65" s="6" t="n">
        <f aca="false">SQRT((H65-'MLB Archetypes'!$C$13)^2+(I65-'MLB Archetypes'!$D$13)^2+(J65-'MLB Archetypes'!$E$13)^2+(K65-'MLB Archetypes'!$F$13)^2)</f>
        <v>7.93725393319377</v>
      </c>
      <c r="AX65" s="6" t="n">
        <f aca="false">SQRT((H65-'MLB Archetypes'!$C$14)^2+(I65-'MLB Archetypes'!$D$14)^2+(J65-'MLB Archetypes'!$E$14)^2+(K65-'MLB Archetypes'!$F$14)^2)</f>
        <v>9.89949493661167</v>
      </c>
      <c r="AY65" s="6" t="n">
        <f aca="false">SQRT((H65-'MLB Archetypes'!$C$15)^2+(I65-'MLB Archetypes'!$D$15)^2+(J65-'MLB Archetypes'!$E$15)^2+(K65-'MLB Archetypes'!$F$15)^2)</f>
        <v>11.1803398874989</v>
      </c>
      <c r="AZ65" s="6" t="n">
        <f aca="false">SQRT((H65-'MLB Archetypes'!$C$16)^2+(I65-'MLB Archetypes'!$D$16)^2+(J65-'MLB Archetypes'!$E$16)^2+(K65-'MLB Archetypes'!$F$16)^2)</f>
        <v>10.4403065089106</v>
      </c>
      <c r="BA65" s="6" t="n">
        <f aca="false">SQRT((H65-'MLB Archetypes'!$C$17)^2+(I65-'MLB Archetypes'!$D$17)^2+(J65-'MLB Archetypes'!$E$17)^2+(K65-'MLB Archetypes'!$F$17)^2)</f>
        <v>10.5356537528527</v>
      </c>
      <c r="BB65" s="6" t="n">
        <f aca="false">SQRT((H65-'MLB Archetypes'!$C$18)^2+(I65-'MLB Archetypes'!$D$18)^2+(J65-'MLB Archetypes'!$E$18)^2+(K65-'MLB Archetypes'!$F$18)^2)</f>
        <v>9.89949493661167</v>
      </c>
      <c r="BC65" s="6" t="n">
        <f aca="false">SQRT((H65-'MLB Archetypes'!$C$19)^2+(I65-'MLB Archetypes'!$D$19)^2+(J65-'MLB Archetypes'!$E$19)^2+(K65-'MLB Archetypes'!$F$19)^2)</f>
        <v>8.77496438739212</v>
      </c>
      <c r="BD65" s="4" t="str">
        <f aca="false">INDEX('MLB Archetypes'!$B$2:$B$19,MATCH(MIN(AL65:BC65),AL65:BC65,0))</f>
        <v>Greg Maddux</v>
      </c>
      <c r="BE65" s="7" t="n">
        <f aca="false">ROUND(10-MIN(AL65:BC65)/1.8,1)</f>
        <v>8.5</v>
      </c>
    </row>
    <row r="66" customFormat="false" ht="15" hidden="false" customHeight="false" outlineLevel="0" collapsed="false">
      <c r="A66" s="2" t="s">
        <v>133</v>
      </c>
      <c r="B66" s="2" t="s">
        <v>63</v>
      </c>
      <c r="C66" s="2" t="s">
        <v>132</v>
      </c>
      <c r="D66" s="2" t="s">
        <v>51</v>
      </c>
      <c r="E66" s="2" t="s">
        <v>50</v>
      </c>
      <c r="F66" s="2" t="s">
        <v>52</v>
      </c>
      <c r="G66" s="2" t="s">
        <v>57</v>
      </c>
      <c r="H66" s="3" t="n">
        <v>8</v>
      </c>
      <c r="I66" s="3" t="n">
        <v>3</v>
      </c>
      <c r="J66" s="3" t="n">
        <v>8</v>
      </c>
      <c r="K66" s="3" t="n">
        <v>1</v>
      </c>
      <c r="L66" s="4" t="n">
        <f aca="false">H66+I66+J66+K66</f>
        <v>20</v>
      </c>
      <c r="M66" s="4" t="n">
        <f aca="false">ROUND(0.75*I66+0.25*K66,2)</f>
        <v>2.5</v>
      </c>
      <c r="N66" s="4" t="n">
        <f aca="false">ROUND(0.7*J66+0.3*K66,2)</f>
        <v>5.9</v>
      </c>
      <c r="O66" s="4" t="n">
        <f aca="false">ROUND((H66+J66+K66)/3,2)</f>
        <v>5.67</v>
      </c>
      <c r="P66" s="4" t="n">
        <f aca="false">ROUND(0.85*H66+0.15*J66,2)</f>
        <v>8</v>
      </c>
      <c r="Q66" s="4" t="n">
        <f aca="false">ROUND(0.6*J66+0.3*I66+0.1*H66,2)</f>
        <v>6.5</v>
      </c>
      <c r="R66" s="4" t="n">
        <f aca="false">ROUND(0.7*I66+0.2*J66+0.1*K66,2)</f>
        <v>3.8</v>
      </c>
      <c r="S66" s="4" t="n">
        <f aca="false">ROUND(0.13*I66+0.35*J66+0.52*K66,2)</f>
        <v>3.71</v>
      </c>
      <c r="T66" s="4" t="n">
        <f aca="false">ROUND(0.4*I66+0.5*J66+0.1*K66,2)</f>
        <v>5.3</v>
      </c>
      <c r="U66" s="4" t="n">
        <f aca="false">ROUND(0.1*I66+0.55*J66+0.35*K66,2)</f>
        <v>5.05</v>
      </c>
      <c r="V66" s="4" t="n">
        <f aca="false">ROUND(0.6*I66+0.1*J66+0.3*K66,2)</f>
        <v>2.9</v>
      </c>
      <c r="W66" s="4" t="n">
        <f aca="false">ROUND(0.15*I66+0.3*J66+0.55*K66,2)</f>
        <v>3.4</v>
      </c>
      <c r="X66" s="4" t="n">
        <f aca="false">ROUND(0.46*I66+0.46*J66+0.08*K66,2)</f>
        <v>5.14</v>
      </c>
      <c r="Y66" s="4" t="str">
        <f aca="false">IF(H66=MAX(H66:K66),"Pitcher (arm-first)",IF(I66=MAX(H66:K66),"Bat-first (corner/1B/DH)",IF(J66=MAX(H66:K66),"Defense-first (up-the-middle)","Speed-first (CF/leadoff)")))</f>
        <v>Pitcher (arm-first)</v>
      </c>
      <c r="Z66" s="5" t="n">
        <f aca="false">P66</f>
        <v>8</v>
      </c>
      <c r="AA66" s="5" t="n">
        <f aca="false">IF(F66="Right",Q66,-1)</f>
        <v>6.5</v>
      </c>
      <c r="AB66" s="5" t="n">
        <f aca="false">R66</f>
        <v>3.8</v>
      </c>
      <c r="AC66" s="5" t="n">
        <f aca="false">IF(F66="Right",S66,-1)</f>
        <v>3.71</v>
      </c>
      <c r="AD66" s="5" t="n">
        <f aca="false">IF(F66="Right",T66,-1)</f>
        <v>5.3</v>
      </c>
      <c r="AE66" s="5" t="n">
        <f aca="false">IF(F66="Right",U66,-1)</f>
        <v>5.05</v>
      </c>
      <c r="AF66" s="5" t="n">
        <f aca="false">V66</f>
        <v>2.9</v>
      </c>
      <c r="AG66" s="5" t="n">
        <f aca="false">W66</f>
        <v>3.4</v>
      </c>
      <c r="AH66" s="5" t="n">
        <f aca="false">X66</f>
        <v>5.14</v>
      </c>
      <c r="AI66" s="4" t="str">
        <f aca="false">INDEX($Z$1:$AH$1,MATCH(MAX(Z66:AH66),Z66:AH66,0))</f>
        <v>P</v>
      </c>
      <c r="AJ66" s="4" t="n">
        <f aca="false">MAX(Z66:AH66)</f>
        <v>8</v>
      </c>
      <c r="AK66" s="4" t="n">
        <f aca="false">SUMPRODUCT(($AI$2:$AI$73=AI66)*($AJ$2:$AJ$73&gt;AJ66))+SUMPRODUCT(($AI$2:$AI$73=AI66)*($AJ$2:$AJ$73=AJ66)*(ROW($AI$2:$AI$73)&lt;ROW(AI66)))+1</f>
        <v>5</v>
      </c>
      <c r="AL66" s="6" t="n">
        <f aca="false">SQRT((H66-'MLB Archetypes'!$C$2)^2+(I66-'MLB Archetypes'!$D$2)^2+(J66-'MLB Archetypes'!$E$2)^2+(K66-'MLB Archetypes'!$F$2)^2)</f>
        <v>4.24264068711929</v>
      </c>
      <c r="AM66" s="6" t="n">
        <f aca="false">SQRT((H66-'MLB Archetypes'!$C$3)^2+(I66-'MLB Archetypes'!$D$3)^2+(J66-'MLB Archetypes'!$E$3)^2+(K66-'MLB Archetypes'!$F$3)^2)</f>
        <v>3</v>
      </c>
      <c r="AN66" s="6" t="n">
        <f aca="false">SQRT((H66-'MLB Archetypes'!$C$4)^2+(I66-'MLB Archetypes'!$D$4)^2+(J66-'MLB Archetypes'!$E$4)^2+(K66-'MLB Archetypes'!$F$4)^2)</f>
        <v>7.54983443527075</v>
      </c>
      <c r="AO66" s="6" t="n">
        <f aca="false">SQRT((H66-'MLB Archetypes'!$C$5)^2+(I66-'MLB Archetypes'!$D$5)^2+(J66-'MLB Archetypes'!$E$5)^2+(K66-'MLB Archetypes'!$F$5)^2)</f>
        <v>7.34846922834953</v>
      </c>
      <c r="AP66" s="6" t="n">
        <f aca="false">SQRT((H66-'MLB Archetypes'!$C$6)^2+(I66-'MLB Archetypes'!$D$6)^2+(J66-'MLB Archetypes'!$E$6)^2+(K66-'MLB Archetypes'!$F$6)^2)</f>
        <v>8.94427190999916</v>
      </c>
      <c r="AQ66" s="6" t="n">
        <f aca="false">SQRT((H66-'MLB Archetypes'!$C$7)^2+(I66-'MLB Archetypes'!$D$7)^2+(J66-'MLB Archetypes'!$E$7)^2+(K66-'MLB Archetypes'!$F$7)^2)</f>
        <v>7.41619848709566</v>
      </c>
      <c r="AR66" s="6" t="n">
        <f aca="false">SQRT((H66-'MLB Archetypes'!$C$8)^2+(I66-'MLB Archetypes'!$D$8)^2+(J66-'MLB Archetypes'!$E$8)^2+(K66-'MLB Archetypes'!$F$8)^2)</f>
        <v>9.74679434480896</v>
      </c>
      <c r="AS66" s="6" t="n">
        <f aca="false">SQRT((H66-'MLB Archetypes'!$C$9)^2+(I66-'MLB Archetypes'!$D$9)^2+(J66-'MLB Archetypes'!$E$9)^2+(K66-'MLB Archetypes'!$F$9)^2)</f>
        <v>8.77496438739212</v>
      </c>
      <c r="AT66" s="6" t="n">
        <f aca="false">SQRT((H66-'MLB Archetypes'!$C$10)^2+(I66-'MLB Archetypes'!$D$10)^2+(J66-'MLB Archetypes'!$E$10)^2+(K66-'MLB Archetypes'!$F$10)^2)</f>
        <v>8.36660026534076</v>
      </c>
      <c r="AU66" s="6" t="n">
        <f aca="false">SQRT((H66-'MLB Archetypes'!$C$11)^2+(I66-'MLB Archetypes'!$D$11)^2+(J66-'MLB Archetypes'!$E$11)^2+(K66-'MLB Archetypes'!$F$11)^2)</f>
        <v>9.21954445729289</v>
      </c>
      <c r="AV66" s="6" t="n">
        <f aca="false">SQRT((H66-'MLB Archetypes'!$C$12)^2+(I66-'MLB Archetypes'!$D$12)^2+(J66-'MLB Archetypes'!$E$12)^2+(K66-'MLB Archetypes'!$F$12)^2)</f>
        <v>8.71779788708135</v>
      </c>
      <c r="AW66" s="6" t="n">
        <f aca="false">SQRT((H66-'MLB Archetypes'!$C$13)^2+(I66-'MLB Archetypes'!$D$13)^2+(J66-'MLB Archetypes'!$E$13)^2+(K66-'MLB Archetypes'!$F$13)^2)</f>
        <v>7.54983443527075</v>
      </c>
      <c r="AX66" s="6" t="n">
        <f aca="false">SQRT((H66-'MLB Archetypes'!$C$14)^2+(I66-'MLB Archetypes'!$D$14)^2+(J66-'MLB Archetypes'!$E$14)^2+(K66-'MLB Archetypes'!$F$14)^2)</f>
        <v>9.59166304662544</v>
      </c>
      <c r="AY66" s="6" t="n">
        <f aca="false">SQRT((H66-'MLB Archetypes'!$C$15)^2+(I66-'MLB Archetypes'!$D$15)^2+(J66-'MLB Archetypes'!$E$15)^2+(K66-'MLB Archetypes'!$F$15)^2)</f>
        <v>11.6189500386223</v>
      </c>
      <c r="AZ66" s="6" t="n">
        <f aca="false">SQRT((H66-'MLB Archetypes'!$C$16)^2+(I66-'MLB Archetypes'!$D$16)^2+(J66-'MLB Archetypes'!$E$16)^2+(K66-'MLB Archetypes'!$F$16)^2)</f>
        <v>10.5356537528527</v>
      </c>
      <c r="BA66" s="6" t="n">
        <f aca="false">SQRT((H66-'MLB Archetypes'!$C$17)^2+(I66-'MLB Archetypes'!$D$17)^2+(J66-'MLB Archetypes'!$E$17)^2+(K66-'MLB Archetypes'!$F$17)^2)</f>
        <v>10.816653826392</v>
      </c>
      <c r="BB66" s="6" t="n">
        <f aca="false">SQRT((H66-'MLB Archetypes'!$C$18)^2+(I66-'MLB Archetypes'!$D$18)^2+(J66-'MLB Archetypes'!$E$18)^2+(K66-'MLB Archetypes'!$F$18)^2)</f>
        <v>9.59166304662544</v>
      </c>
      <c r="BC66" s="6" t="n">
        <f aca="false">SQRT((H66-'MLB Archetypes'!$C$19)^2+(I66-'MLB Archetypes'!$D$19)^2+(J66-'MLB Archetypes'!$E$19)^2+(K66-'MLB Archetypes'!$F$19)^2)</f>
        <v>8.77496438739212</v>
      </c>
      <c r="BD66" s="4" t="str">
        <f aca="false">INDEX('MLB Archetypes'!$B$2:$B$19,MATCH(MIN(AL66:BC66),AL66:BC66,0))</f>
        <v>Greg Maddux</v>
      </c>
      <c r="BE66" s="7" t="n">
        <f aca="false">ROUND(10-MIN(AL66:BC66)/1.8,1)</f>
        <v>8.3</v>
      </c>
    </row>
    <row r="67" customFormat="false" ht="15" hidden="false" customHeight="false" outlineLevel="0" collapsed="false">
      <c r="A67" s="2" t="s">
        <v>134</v>
      </c>
      <c r="B67" s="2" t="s">
        <v>63</v>
      </c>
      <c r="C67" s="2" t="s">
        <v>132</v>
      </c>
      <c r="D67" s="2" t="s">
        <v>51</v>
      </c>
      <c r="E67" s="2" t="s">
        <v>50</v>
      </c>
      <c r="F67" s="2" t="s">
        <v>52</v>
      </c>
      <c r="G67" s="2" t="s">
        <v>57</v>
      </c>
      <c r="H67" s="3" t="n">
        <v>7</v>
      </c>
      <c r="I67" s="3" t="n">
        <v>2</v>
      </c>
      <c r="J67" s="3" t="n">
        <v>8</v>
      </c>
      <c r="K67" s="3" t="n">
        <v>2</v>
      </c>
      <c r="L67" s="4" t="n">
        <f aca="false">H67+I67+J67+K67</f>
        <v>19</v>
      </c>
      <c r="M67" s="4" t="n">
        <f aca="false">ROUND(0.75*I67+0.25*K67,2)</f>
        <v>2</v>
      </c>
      <c r="N67" s="4" t="n">
        <f aca="false">ROUND(0.7*J67+0.3*K67,2)</f>
        <v>6.2</v>
      </c>
      <c r="O67" s="4" t="n">
        <f aca="false">ROUND((H67+J67+K67)/3,2)</f>
        <v>5.67</v>
      </c>
      <c r="P67" s="4" t="n">
        <f aca="false">ROUND(0.85*H67+0.15*J67,2)</f>
        <v>7.15</v>
      </c>
      <c r="Q67" s="4" t="n">
        <f aca="false">ROUND(0.6*J67+0.3*I67+0.1*H67,2)</f>
        <v>6.1</v>
      </c>
      <c r="R67" s="4" t="n">
        <f aca="false">ROUND(0.7*I67+0.2*J67+0.1*K67,2)</f>
        <v>3.2</v>
      </c>
      <c r="S67" s="4" t="n">
        <f aca="false">ROUND(0.13*I67+0.35*J67+0.52*K67,2)</f>
        <v>4.1</v>
      </c>
      <c r="T67" s="4" t="n">
        <f aca="false">ROUND(0.4*I67+0.5*J67+0.1*K67,2)</f>
        <v>5</v>
      </c>
      <c r="U67" s="4" t="n">
        <f aca="false">ROUND(0.1*I67+0.55*J67+0.35*K67,2)</f>
        <v>5.3</v>
      </c>
      <c r="V67" s="4" t="n">
        <f aca="false">ROUND(0.6*I67+0.1*J67+0.3*K67,2)</f>
        <v>2.6</v>
      </c>
      <c r="W67" s="4" t="n">
        <f aca="false">ROUND(0.15*I67+0.3*J67+0.55*K67,2)</f>
        <v>3.8</v>
      </c>
      <c r="X67" s="4" t="n">
        <f aca="false">ROUND(0.46*I67+0.46*J67+0.08*K67,2)</f>
        <v>4.76</v>
      </c>
      <c r="Y67" s="4" t="str">
        <f aca="false">IF(H67=MAX(H67:K67),"Pitcher (arm-first)",IF(I67=MAX(H67:K67),"Bat-first (corner/1B/DH)",IF(J67=MAX(H67:K67),"Defense-first (up-the-middle)","Speed-first (CF/leadoff)")))</f>
        <v>Defense-first (up-the-middle)</v>
      </c>
      <c r="Z67" s="5" t="n">
        <f aca="false">P67</f>
        <v>7.15</v>
      </c>
      <c r="AA67" s="5" t="n">
        <f aca="false">IF(F67="Right",Q67,-1)</f>
        <v>6.1</v>
      </c>
      <c r="AB67" s="5" t="n">
        <f aca="false">R67</f>
        <v>3.2</v>
      </c>
      <c r="AC67" s="5" t="n">
        <f aca="false">IF(F67="Right",S67,-1)</f>
        <v>4.1</v>
      </c>
      <c r="AD67" s="5" t="n">
        <f aca="false">IF(F67="Right",T67,-1)</f>
        <v>5</v>
      </c>
      <c r="AE67" s="5" t="n">
        <f aca="false">IF(F67="Right",U67,-1)</f>
        <v>5.3</v>
      </c>
      <c r="AF67" s="5" t="n">
        <f aca="false">V67</f>
        <v>2.6</v>
      </c>
      <c r="AG67" s="5" t="n">
        <f aca="false">W67</f>
        <v>3.8</v>
      </c>
      <c r="AH67" s="5" t="n">
        <f aca="false">X67</f>
        <v>4.76</v>
      </c>
      <c r="AI67" s="4" t="str">
        <f aca="false">INDEX($Z$1:$AH$1,MATCH(MAX(Z67:AH67),Z67:AH67,0))</f>
        <v>P</v>
      </c>
      <c r="AJ67" s="4" t="n">
        <f aca="false">MAX(Z67:AH67)</f>
        <v>7.15</v>
      </c>
      <c r="AK67" s="4" t="n">
        <f aca="false">SUMPRODUCT(($AI$2:$AI$73=AI67)*($AJ$2:$AJ$73&gt;AJ67))+SUMPRODUCT(($AI$2:$AI$73=AI67)*($AJ$2:$AJ$73=AJ67)*(ROW($AI$2:$AI$73)&lt;ROW(AI67)))+1</f>
        <v>7</v>
      </c>
      <c r="AL67" s="6" t="n">
        <f aca="false">SQRT((H67-'MLB Archetypes'!$C$2)^2+(I67-'MLB Archetypes'!$D$2)^2+(J67-'MLB Archetypes'!$E$2)^2+(K67-'MLB Archetypes'!$F$2)^2)</f>
        <v>4.35889894354067</v>
      </c>
      <c r="AM67" s="6" t="n">
        <f aca="false">SQRT((H67-'MLB Archetypes'!$C$3)^2+(I67-'MLB Archetypes'!$D$3)^2+(J67-'MLB Archetypes'!$E$3)^2+(K67-'MLB Archetypes'!$F$3)^2)</f>
        <v>3.16227766016838</v>
      </c>
      <c r="AN67" s="6" t="n">
        <f aca="false">SQRT((H67-'MLB Archetypes'!$C$4)^2+(I67-'MLB Archetypes'!$D$4)^2+(J67-'MLB Archetypes'!$E$4)^2+(K67-'MLB Archetypes'!$F$4)^2)</f>
        <v>7.21110255092798</v>
      </c>
      <c r="AO67" s="6" t="n">
        <f aca="false">SQRT((H67-'MLB Archetypes'!$C$5)^2+(I67-'MLB Archetypes'!$D$5)^2+(J67-'MLB Archetypes'!$E$5)^2+(K67-'MLB Archetypes'!$F$5)^2)</f>
        <v>6.70820393249937</v>
      </c>
      <c r="AP67" s="6" t="n">
        <f aca="false">SQRT((H67-'MLB Archetypes'!$C$6)^2+(I67-'MLB Archetypes'!$D$6)^2+(J67-'MLB Archetypes'!$E$6)^2+(K67-'MLB Archetypes'!$F$6)^2)</f>
        <v>8.88819441731559</v>
      </c>
      <c r="AQ67" s="6" t="n">
        <f aca="false">SQRT((H67-'MLB Archetypes'!$C$7)^2+(I67-'MLB Archetypes'!$D$7)^2+(J67-'MLB Archetypes'!$E$7)^2+(K67-'MLB Archetypes'!$F$7)^2)</f>
        <v>6.78232998312527</v>
      </c>
      <c r="AR67" s="6" t="n">
        <f aca="false">SQRT((H67-'MLB Archetypes'!$C$8)^2+(I67-'MLB Archetypes'!$D$8)^2+(J67-'MLB Archetypes'!$E$8)^2+(K67-'MLB Archetypes'!$F$8)^2)</f>
        <v>8.83176086632785</v>
      </c>
      <c r="AS67" s="6" t="n">
        <f aca="false">SQRT((H67-'MLB Archetypes'!$C$9)^2+(I67-'MLB Archetypes'!$D$9)^2+(J67-'MLB Archetypes'!$E$9)^2+(K67-'MLB Archetypes'!$F$9)^2)</f>
        <v>8.12403840463596</v>
      </c>
      <c r="AT67" s="6" t="n">
        <f aca="false">SQRT((H67-'MLB Archetypes'!$C$10)^2+(I67-'MLB Archetypes'!$D$10)^2+(J67-'MLB Archetypes'!$E$10)^2+(K67-'MLB Archetypes'!$F$10)^2)</f>
        <v>8.06225774829855</v>
      </c>
      <c r="AU67" s="6" t="n">
        <f aca="false">SQRT((H67-'MLB Archetypes'!$C$11)^2+(I67-'MLB Archetypes'!$D$11)^2+(J67-'MLB Archetypes'!$E$11)^2+(K67-'MLB Archetypes'!$F$11)^2)</f>
        <v>9.05538513813742</v>
      </c>
      <c r="AV67" s="6" t="n">
        <f aca="false">SQRT((H67-'MLB Archetypes'!$C$12)^2+(I67-'MLB Archetypes'!$D$12)^2+(J67-'MLB Archetypes'!$E$12)^2+(K67-'MLB Archetypes'!$F$12)^2)</f>
        <v>7.41619848709566</v>
      </c>
      <c r="AW67" s="6" t="n">
        <f aca="false">SQRT((H67-'MLB Archetypes'!$C$13)^2+(I67-'MLB Archetypes'!$D$13)^2+(J67-'MLB Archetypes'!$E$13)^2+(K67-'MLB Archetypes'!$F$13)^2)</f>
        <v>7.21110255092798</v>
      </c>
      <c r="AX67" s="6" t="n">
        <f aca="false">SQRT((H67-'MLB Archetypes'!$C$14)^2+(I67-'MLB Archetypes'!$D$14)^2+(J67-'MLB Archetypes'!$E$14)^2+(K67-'MLB Archetypes'!$F$14)^2)</f>
        <v>9.32737905308882</v>
      </c>
      <c r="AY67" s="6" t="n">
        <f aca="false">SQRT((H67-'MLB Archetypes'!$C$15)^2+(I67-'MLB Archetypes'!$D$15)^2+(J67-'MLB Archetypes'!$E$15)^2+(K67-'MLB Archetypes'!$F$15)^2)</f>
        <v>10.6770782520313</v>
      </c>
      <c r="AZ67" s="6" t="n">
        <f aca="false">SQRT((H67-'MLB Archetypes'!$C$16)^2+(I67-'MLB Archetypes'!$D$16)^2+(J67-'MLB Archetypes'!$E$16)^2+(K67-'MLB Archetypes'!$F$16)^2)</f>
        <v>9.89949493661167</v>
      </c>
      <c r="BA67" s="6" t="n">
        <f aca="false">SQRT((H67-'MLB Archetypes'!$C$17)^2+(I67-'MLB Archetypes'!$D$17)^2+(J67-'MLB Archetypes'!$E$17)^2+(K67-'MLB Archetypes'!$F$17)^2)</f>
        <v>10</v>
      </c>
      <c r="BB67" s="6" t="n">
        <f aca="false">SQRT((H67-'MLB Archetypes'!$C$18)^2+(I67-'MLB Archetypes'!$D$18)^2+(J67-'MLB Archetypes'!$E$18)^2+(K67-'MLB Archetypes'!$F$18)^2)</f>
        <v>9.32737905308882</v>
      </c>
      <c r="BC67" s="6" t="n">
        <f aca="false">SQRT((H67-'MLB Archetypes'!$C$19)^2+(I67-'MLB Archetypes'!$D$19)^2+(J67-'MLB Archetypes'!$E$19)^2+(K67-'MLB Archetypes'!$F$19)^2)</f>
        <v>8.12403840463596</v>
      </c>
      <c r="BD67" s="4" t="str">
        <f aca="false">INDEX('MLB Archetypes'!$B$2:$B$19,MATCH(MIN(AL67:BC67),AL67:BC67,0))</f>
        <v>Greg Maddux</v>
      </c>
      <c r="BE67" s="7" t="n">
        <f aca="false">ROUND(10-MIN(AL67:BC67)/1.8,1)</f>
        <v>8.2</v>
      </c>
    </row>
    <row r="68" customFormat="false" ht="15" hidden="false" customHeight="false" outlineLevel="0" collapsed="false">
      <c r="A68" s="2" t="s">
        <v>135</v>
      </c>
      <c r="B68" s="2" t="s">
        <v>63</v>
      </c>
      <c r="C68" s="2" t="s">
        <v>132</v>
      </c>
      <c r="D68" s="2" t="s">
        <v>51</v>
      </c>
      <c r="E68" s="2" t="s">
        <v>50</v>
      </c>
      <c r="F68" s="2" t="s">
        <v>52</v>
      </c>
      <c r="G68" s="2" t="s">
        <v>57</v>
      </c>
      <c r="H68" s="3" t="n">
        <v>7</v>
      </c>
      <c r="I68" s="3" t="n">
        <v>3</v>
      </c>
      <c r="J68" s="3" t="n">
        <v>8</v>
      </c>
      <c r="K68" s="3" t="n">
        <v>2</v>
      </c>
      <c r="L68" s="4" t="n">
        <f aca="false">H68+I68+J68+K68</f>
        <v>20</v>
      </c>
      <c r="M68" s="4" t="n">
        <f aca="false">ROUND(0.75*I68+0.25*K68,2)</f>
        <v>2.75</v>
      </c>
      <c r="N68" s="4" t="n">
        <f aca="false">ROUND(0.7*J68+0.3*K68,2)</f>
        <v>6.2</v>
      </c>
      <c r="O68" s="4" t="n">
        <f aca="false">ROUND((H68+J68+K68)/3,2)</f>
        <v>5.67</v>
      </c>
      <c r="P68" s="4" t="n">
        <f aca="false">ROUND(0.85*H68+0.15*J68,2)</f>
        <v>7.15</v>
      </c>
      <c r="Q68" s="4" t="n">
        <f aca="false">ROUND(0.6*J68+0.3*I68+0.1*H68,2)</f>
        <v>6.4</v>
      </c>
      <c r="R68" s="4" t="n">
        <f aca="false">ROUND(0.7*I68+0.2*J68+0.1*K68,2)</f>
        <v>3.9</v>
      </c>
      <c r="S68" s="4" t="n">
        <f aca="false">ROUND(0.13*I68+0.35*J68+0.52*K68,2)</f>
        <v>4.23</v>
      </c>
      <c r="T68" s="4" t="n">
        <f aca="false">ROUND(0.4*I68+0.5*J68+0.1*K68,2)</f>
        <v>5.4</v>
      </c>
      <c r="U68" s="4" t="n">
        <f aca="false">ROUND(0.1*I68+0.55*J68+0.35*K68,2)</f>
        <v>5.4</v>
      </c>
      <c r="V68" s="4" t="n">
        <f aca="false">ROUND(0.6*I68+0.1*J68+0.3*K68,2)</f>
        <v>3.2</v>
      </c>
      <c r="W68" s="4" t="n">
        <f aca="false">ROUND(0.15*I68+0.3*J68+0.55*K68,2)</f>
        <v>3.95</v>
      </c>
      <c r="X68" s="4" t="n">
        <f aca="false">ROUND(0.46*I68+0.46*J68+0.08*K68,2)</f>
        <v>5.22</v>
      </c>
      <c r="Y68" s="4" t="str">
        <f aca="false">IF(H68=MAX(H68:K68),"Pitcher (arm-first)",IF(I68=MAX(H68:K68),"Bat-first (corner/1B/DH)",IF(J68=MAX(H68:K68),"Defense-first (up-the-middle)","Speed-first (CF/leadoff)")))</f>
        <v>Defense-first (up-the-middle)</v>
      </c>
      <c r="Z68" s="5" t="n">
        <f aca="false">P68</f>
        <v>7.15</v>
      </c>
      <c r="AA68" s="5" t="n">
        <f aca="false">IF(F68="Right",Q68,-1)</f>
        <v>6.4</v>
      </c>
      <c r="AB68" s="5" t="n">
        <f aca="false">R68</f>
        <v>3.9</v>
      </c>
      <c r="AC68" s="5" t="n">
        <f aca="false">IF(F68="Right",S68,-1)</f>
        <v>4.23</v>
      </c>
      <c r="AD68" s="5" t="n">
        <f aca="false">IF(F68="Right",T68,-1)</f>
        <v>5.4</v>
      </c>
      <c r="AE68" s="5" t="n">
        <f aca="false">IF(F68="Right",U68,-1)</f>
        <v>5.4</v>
      </c>
      <c r="AF68" s="5" t="n">
        <f aca="false">V68</f>
        <v>3.2</v>
      </c>
      <c r="AG68" s="5" t="n">
        <f aca="false">W68</f>
        <v>3.95</v>
      </c>
      <c r="AH68" s="5" t="n">
        <f aca="false">X68</f>
        <v>5.22</v>
      </c>
      <c r="AI68" s="4" t="str">
        <f aca="false">INDEX($Z$1:$AH$1,MATCH(MAX(Z68:AH68),Z68:AH68,0))</f>
        <v>P</v>
      </c>
      <c r="AJ68" s="4" t="n">
        <f aca="false">MAX(Z68:AH68)</f>
        <v>7.15</v>
      </c>
      <c r="AK68" s="4" t="n">
        <f aca="false">SUMPRODUCT(($AI$2:$AI$73=AI68)*($AJ$2:$AJ$73&gt;AJ68))+SUMPRODUCT(($AI$2:$AI$73=AI68)*($AJ$2:$AJ$73=AJ68)*(ROW($AI$2:$AI$73)&lt;ROW(AI68)))+1</f>
        <v>8</v>
      </c>
      <c r="AL68" s="6" t="n">
        <f aca="false">SQRT((H68-'MLB Archetypes'!$C$2)^2+(I68-'MLB Archetypes'!$D$2)^2+(J68-'MLB Archetypes'!$E$2)^2+(K68-'MLB Archetypes'!$F$2)^2)</f>
        <v>4.47213595499958</v>
      </c>
      <c r="AM68" s="6" t="n">
        <f aca="false">SQRT((H68-'MLB Archetypes'!$C$3)^2+(I68-'MLB Archetypes'!$D$3)^2+(J68-'MLB Archetypes'!$E$3)^2+(K68-'MLB Archetypes'!$F$3)^2)</f>
        <v>3</v>
      </c>
      <c r="AN68" s="6" t="n">
        <f aca="false">SQRT((H68-'MLB Archetypes'!$C$4)^2+(I68-'MLB Archetypes'!$D$4)^2+(J68-'MLB Archetypes'!$E$4)^2+(K68-'MLB Archetypes'!$F$4)^2)</f>
        <v>6.557438524302</v>
      </c>
      <c r="AO68" s="6" t="n">
        <f aca="false">SQRT((H68-'MLB Archetypes'!$C$5)^2+(I68-'MLB Archetypes'!$D$5)^2+(J68-'MLB Archetypes'!$E$5)^2+(K68-'MLB Archetypes'!$F$5)^2)</f>
        <v>6.16441400296898</v>
      </c>
      <c r="AP68" s="6" t="n">
        <f aca="false">SQRT((H68-'MLB Archetypes'!$C$6)^2+(I68-'MLB Archetypes'!$D$6)^2+(J68-'MLB Archetypes'!$E$6)^2+(K68-'MLB Archetypes'!$F$6)^2)</f>
        <v>8.12403840463596</v>
      </c>
      <c r="AQ68" s="6" t="n">
        <f aca="false">SQRT((H68-'MLB Archetypes'!$C$7)^2+(I68-'MLB Archetypes'!$D$7)^2+(J68-'MLB Archetypes'!$E$7)^2+(K68-'MLB Archetypes'!$F$7)^2)</f>
        <v>6.2449979983984</v>
      </c>
      <c r="AR68" s="6" t="n">
        <f aca="false">SQRT((H68-'MLB Archetypes'!$C$8)^2+(I68-'MLB Archetypes'!$D$8)^2+(J68-'MLB Archetypes'!$E$8)^2+(K68-'MLB Archetypes'!$F$8)^2)</f>
        <v>8.42614977317636</v>
      </c>
      <c r="AS68" s="6" t="n">
        <f aca="false">SQRT((H68-'MLB Archetypes'!$C$9)^2+(I68-'MLB Archetypes'!$D$9)^2+(J68-'MLB Archetypes'!$E$9)^2+(K68-'MLB Archetypes'!$F$9)^2)</f>
        <v>7.54983443527075</v>
      </c>
      <c r="AT68" s="6" t="n">
        <f aca="false">SQRT((H68-'MLB Archetypes'!$C$10)^2+(I68-'MLB Archetypes'!$D$10)^2+(J68-'MLB Archetypes'!$E$10)^2+(K68-'MLB Archetypes'!$F$10)^2)</f>
        <v>7.34846922834953</v>
      </c>
      <c r="AU68" s="6" t="n">
        <f aca="false">SQRT((H68-'MLB Archetypes'!$C$11)^2+(I68-'MLB Archetypes'!$D$11)^2+(J68-'MLB Archetypes'!$E$11)^2+(K68-'MLB Archetypes'!$F$11)^2)</f>
        <v>8.30662386291808</v>
      </c>
      <c r="AV68" s="6" t="n">
        <f aca="false">SQRT((H68-'MLB Archetypes'!$C$12)^2+(I68-'MLB Archetypes'!$D$12)^2+(J68-'MLB Archetypes'!$E$12)^2+(K68-'MLB Archetypes'!$F$12)^2)</f>
        <v>7.34846922834953</v>
      </c>
      <c r="AW68" s="6" t="n">
        <f aca="false">SQRT((H68-'MLB Archetypes'!$C$13)^2+(I68-'MLB Archetypes'!$D$13)^2+(J68-'MLB Archetypes'!$E$13)^2+(K68-'MLB Archetypes'!$F$13)^2)</f>
        <v>6.557438524302</v>
      </c>
      <c r="AX68" s="6" t="n">
        <f aca="false">SQRT((H68-'MLB Archetypes'!$C$14)^2+(I68-'MLB Archetypes'!$D$14)^2+(J68-'MLB Archetypes'!$E$14)^2+(K68-'MLB Archetypes'!$F$14)^2)</f>
        <v>8.60232526704263</v>
      </c>
      <c r="AY68" s="6" t="n">
        <f aca="false">SQRT((H68-'MLB Archetypes'!$C$15)^2+(I68-'MLB Archetypes'!$D$15)^2+(J68-'MLB Archetypes'!$E$15)^2+(K68-'MLB Archetypes'!$F$15)^2)</f>
        <v>10.3440804327886</v>
      </c>
      <c r="AZ68" s="6" t="n">
        <f aca="false">SQRT((H68-'MLB Archetypes'!$C$16)^2+(I68-'MLB Archetypes'!$D$16)^2+(J68-'MLB Archetypes'!$E$16)^2+(K68-'MLB Archetypes'!$F$16)^2)</f>
        <v>9.32737905308882</v>
      </c>
      <c r="BA68" s="6" t="n">
        <f aca="false">SQRT((H68-'MLB Archetypes'!$C$17)^2+(I68-'MLB Archetypes'!$D$17)^2+(J68-'MLB Archetypes'!$E$17)^2+(K68-'MLB Archetypes'!$F$17)^2)</f>
        <v>9.53939201416946</v>
      </c>
      <c r="BB68" s="6" t="n">
        <f aca="false">SQRT((H68-'MLB Archetypes'!$C$18)^2+(I68-'MLB Archetypes'!$D$18)^2+(J68-'MLB Archetypes'!$E$18)^2+(K68-'MLB Archetypes'!$F$18)^2)</f>
        <v>8.60232526704263</v>
      </c>
      <c r="BC68" s="6" t="n">
        <f aca="false">SQRT((H68-'MLB Archetypes'!$C$19)^2+(I68-'MLB Archetypes'!$D$19)^2+(J68-'MLB Archetypes'!$E$19)^2+(K68-'MLB Archetypes'!$F$19)^2)</f>
        <v>7.54983443527075</v>
      </c>
      <c r="BD68" s="4" t="str">
        <f aca="false">INDEX('MLB Archetypes'!$B$2:$B$19,MATCH(MIN(AL68:BC68),AL68:BC68,0))</f>
        <v>Greg Maddux</v>
      </c>
      <c r="BE68" s="7" t="n">
        <f aca="false">ROUND(10-MIN(AL68:BC68)/1.8,1)</f>
        <v>8.3</v>
      </c>
    </row>
    <row r="69" customFormat="false" ht="15" hidden="false" customHeight="false" outlineLevel="0" collapsed="false">
      <c r="A69" s="2" t="s">
        <v>136</v>
      </c>
      <c r="B69" s="2" t="s">
        <v>63</v>
      </c>
      <c r="C69" s="2" t="s">
        <v>136</v>
      </c>
      <c r="D69" s="2" t="s">
        <v>51</v>
      </c>
      <c r="E69" s="2" t="s">
        <v>50</v>
      </c>
      <c r="F69" s="2" t="s">
        <v>57</v>
      </c>
      <c r="G69" s="2" t="s">
        <v>57</v>
      </c>
      <c r="H69" s="3" t="n">
        <v>4</v>
      </c>
      <c r="I69" s="3" t="n">
        <v>7</v>
      </c>
      <c r="J69" s="3" t="n">
        <v>4</v>
      </c>
      <c r="K69" s="3" t="n">
        <v>5</v>
      </c>
      <c r="L69" s="4" t="n">
        <f aca="false">H69+I69+J69+K69</f>
        <v>20</v>
      </c>
      <c r="M69" s="4" t="n">
        <f aca="false">ROUND(0.75*I69+0.25*K69,2)</f>
        <v>6.5</v>
      </c>
      <c r="N69" s="4" t="n">
        <f aca="false">ROUND(0.7*J69+0.3*K69,2)</f>
        <v>4.3</v>
      </c>
      <c r="O69" s="4" t="n">
        <f aca="false">ROUND((H69+J69+K69)/3,2)</f>
        <v>4.33</v>
      </c>
      <c r="P69" s="4" t="n">
        <f aca="false">ROUND(0.85*H69+0.15*J69,2)</f>
        <v>4</v>
      </c>
      <c r="Q69" s="4" t="n">
        <f aca="false">ROUND(0.6*J69+0.3*I69+0.1*H69,2)</f>
        <v>4.9</v>
      </c>
      <c r="R69" s="4" t="n">
        <f aca="false">ROUND(0.7*I69+0.2*J69+0.1*K69,2)</f>
        <v>6.2</v>
      </c>
      <c r="S69" s="4" t="n">
        <f aca="false">ROUND(0.13*I69+0.35*J69+0.52*K69,2)</f>
        <v>4.91</v>
      </c>
      <c r="T69" s="4" t="n">
        <f aca="false">ROUND(0.4*I69+0.5*J69+0.1*K69,2)</f>
        <v>5.3</v>
      </c>
      <c r="U69" s="4" t="n">
        <f aca="false">ROUND(0.1*I69+0.55*J69+0.35*K69,2)</f>
        <v>4.65</v>
      </c>
      <c r="V69" s="4" t="n">
        <f aca="false">ROUND(0.6*I69+0.1*J69+0.3*K69,2)</f>
        <v>6.1</v>
      </c>
      <c r="W69" s="4" t="n">
        <f aca="false">ROUND(0.15*I69+0.3*J69+0.55*K69,2)</f>
        <v>5</v>
      </c>
      <c r="X69" s="4" t="n">
        <f aca="false">ROUND(0.46*I69+0.46*J69+0.08*K69,2)</f>
        <v>5.46</v>
      </c>
      <c r="Y69" s="4" t="str">
        <f aca="false">IF(H69=MAX(H69:K69),"Pitcher (arm-first)",IF(I69=MAX(H69:K69),"Bat-first (corner/1B/DH)",IF(J69=MAX(H69:K69),"Defense-first (up-the-middle)","Speed-first (CF/leadoff)")))</f>
        <v>Bat-first (corner/1B/DH)</v>
      </c>
      <c r="Z69" s="5" t="n">
        <f aca="false">P69</f>
        <v>4</v>
      </c>
      <c r="AA69" s="5" t="n">
        <f aca="false">IF(F69="Right",Q69,-1)</f>
        <v>-1</v>
      </c>
      <c r="AB69" s="5" t="n">
        <f aca="false">R69</f>
        <v>6.2</v>
      </c>
      <c r="AC69" s="5" t="n">
        <f aca="false">IF(F69="Right",S69,-1)</f>
        <v>-1</v>
      </c>
      <c r="AD69" s="5" t="n">
        <f aca="false">IF(F69="Right",T69,-1)</f>
        <v>-1</v>
      </c>
      <c r="AE69" s="5" t="n">
        <f aca="false">IF(F69="Right",U69,-1)</f>
        <v>-1</v>
      </c>
      <c r="AF69" s="5" t="n">
        <f aca="false">V69</f>
        <v>6.1</v>
      </c>
      <c r="AG69" s="5" t="n">
        <f aca="false">W69</f>
        <v>5</v>
      </c>
      <c r="AH69" s="5" t="n">
        <f aca="false">X69</f>
        <v>5.46</v>
      </c>
      <c r="AI69" s="4" t="str">
        <f aca="false">INDEX($Z$1:$AH$1,MATCH(MAX(Z69:AH69),Z69:AH69,0))</f>
        <v>1B</v>
      </c>
      <c r="AJ69" s="4" t="n">
        <f aca="false">MAX(Z69:AH69)</f>
        <v>6.2</v>
      </c>
      <c r="AK69" s="4" t="n">
        <f aca="false">SUMPRODUCT(($AI$2:$AI$73=AI69)*($AJ$2:$AJ$73&gt;AJ69))+SUMPRODUCT(($AI$2:$AI$73=AI69)*($AJ$2:$AJ$73=AJ69)*(ROW($AI$2:$AI$73)&lt;ROW(AI69)))+1</f>
        <v>16</v>
      </c>
      <c r="AL69" s="6" t="n">
        <f aca="false">SQRT((H69-'MLB Archetypes'!$C$2)^2+(I69-'MLB Archetypes'!$D$2)^2+(J69-'MLB Archetypes'!$E$2)^2+(K69-'MLB Archetypes'!$F$2)^2)</f>
        <v>8.12403840463596</v>
      </c>
      <c r="AM69" s="6" t="n">
        <f aca="false">SQRT((H69-'MLB Archetypes'!$C$3)^2+(I69-'MLB Archetypes'!$D$3)^2+(J69-'MLB Archetypes'!$E$3)^2+(K69-'MLB Archetypes'!$F$3)^2)</f>
        <v>7</v>
      </c>
      <c r="AN69" s="6" t="n">
        <f aca="false">SQRT((H69-'MLB Archetypes'!$C$4)^2+(I69-'MLB Archetypes'!$D$4)^2+(J69-'MLB Archetypes'!$E$4)^2+(K69-'MLB Archetypes'!$F$4)^2)</f>
        <v>5.74456264653803</v>
      </c>
      <c r="AO69" s="6" t="n">
        <f aca="false">SQRT((H69-'MLB Archetypes'!$C$5)^2+(I69-'MLB Archetypes'!$D$5)^2+(J69-'MLB Archetypes'!$E$5)^2+(K69-'MLB Archetypes'!$F$5)^2)</f>
        <v>4.69041575982343</v>
      </c>
      <c r="AP69" s="6" t="n">
        <f aca="false">SQRT((H69-'MLB Archetypes'!$C$6)^2+(I69-'MLB Archetypes'!$D$6)^2+(J69-'MLB Archetypes'!$E$6)^2+(K69-'MLB Archetypes'!$F$6)^2)</f>
        <v>4</v>
      </c>
      <c r="AQ69" s="6" t="n">
        <f aca="false">SQRT((H69-'MLB Archetypes'!$C$7)^2+(I69-'MLB Archetypes'!$D$7)^2+(J69-'MLB Archetypes'!$E$7)^2+(K69-'MLB Archetypes'!$F$7)^2)</f>
        <v>5.56776436283002</v>
      </c>
      <c r="AR69" s="6" t="n">
        <f aca="false">SQRT((H69-'MLB Archetypes'!$C$8)^2+(I69-'MLB Archetypes'!$D$8)^2+(J69-'MLB Archetypes'!$E$8)^2+(K69-'MLB Archetypes'!$F$8)^2)</f>
        <v>4.79583152331272</v>
      </c>
      <c r="AS69" s="6" t="n">
        <f aca="false">SQRT((H69-'MLB Archetypes'!$C$9)^2+(I69-'MLB Archetypes'!$D$9)^2+(J69-'MLB Archetypes'!$E$9)^2+(K69-'MLB Archetypes'!$F$9)^2)</f>
        <v>4.58257569495584</v>
      </c>
      <c r="AT69" s="6" t="n">
        <f aca="false">SQRT((H69-'MLB Archetypes'!$C$10)^2+(I69-'MLB Archetypes'!$D$10)^2+(J69-'MLB Archetypes'!$E$10)^2+(K69-'MLB Archetypes'!$F$10)^2)</f>
        <v>4.69041575982343</v>
      </c>
      <c r="AU69" s="6" t="n">
        <f aca="false">SQRT((H69-'MLB Archetypes'!$C$11)^2+(I69-'MLB Archetypes'!$D$11)^2+(J69-'MLB Archetypes'!$E$11)^2+(K69-'MLB Archetypes'!$F$11)^2)</f>
        <v>3.60555127546399</v>
      </c>
      <c r="AV69" s="6" t="n">
        <f aca="false">SQRT((H69-'MLB Archetypes'!$C$12)^2+(I69-'MLB Archetypes'!$D$12)^2+(J69-'MLB Archetypes'!$E$12)^2+(K69-'MLB Archetypes'!$F$12)^2)</f>
        <v>7.74596669241483</v>
      </c>
      <c r="AW69" s="6" t="n">
        <f aca="false">SQRT((H69-'MLB Archetypes'!$C$13)^2+(I69-'MLB Archetypes'!$D$13)^2+(J69-'MLB Archetypes'!$E$13)^2+(K69-'MLB Archetypes'!$F$13)^2)</f>
        <v>4.12310562561766</v>
      </c>
      <c r="AX69" s="6" t="n">
        <f aca="false">SQRT((H69-'MLB Archetypes'!$C$14)^2+(I69-'MLB Archetypes'!$D$14)^2+(J69-'MLB Archetypes'!$E$14)^2+(K69-'MLB Archetypes'!$F$14)^2)</f>
        <v>3.46410161513775</v>
      </c>
      <c r="AY69" s="6" t="n">
        <f aca="false">SQRT((H69-'MLB Archetypes'!$C$15)^2+(I69-'MLB Archetypes'!$D$15)^2+(J69-'MLB Archetypes'!$E$15)^2+(K69-'MLB Archetypes'!$F$15)^2)</f>
        <v>5.56776436283002</v>
      </c>
      <c r="AZ69" s="6" t="n">
        <f aca="false">SQRT((H69-'MLB Archetypes'!$C$16)^2+(I69-'MLB Archetypes'!$D$16)^2+(J69-'MLB Archetypes'!$E$16)^2+(K69-'MLB Archetypes'!$F$16)^2)</f>
        <v>6.2449979983984</v>
      </c>
      <c r="BA69" s="6" t="n">
        <f aca="false">SQRT((H69-'MLB Archetypes'!$C$17)^2+(I69-'MLB Archetypes'!$D$17)^2+(J69-'MLB Archetypes'!$E$17)^2+(K69-'MLB Archetypes'!$F$17)^2)</f>
        <v>5.3851648071345</v>
      </c>
      <c r="BB69" s="6" t="n">
        <f aca="false">SQRT((H69-'MLB Archetypes'!$C$18)^2+(I69-'MLB Archetypes'!$D$18)^2+(J69-'MLB Archetypes'!$E$18)^2+(K69-'MLB Archetypes'!$F$18)^2)</f>
        <v>3.46410161513775</v>
      </c>
      <c r="BC69" s="6" t="n">
        <f aca="false">SQRT((H69-'MLB Archetypes'!$C$19)^2+(I69-'MLB Archetypes'!$D$19)^2+(J69-'MLB Archetypes'!$E$19)^2+(K69-'MLB Archetypes'!$F$19)^2)</f>
        <v>4.58257569495584</v>
      </c>
      <c r="BD69" s="4" t="str">
        <f aca="false">INDEX('MLB Archetypes'!$B$2:$B$19,MATCH(MIN(AL69:BC69),AL69:BC69,0))</f>
        <v>Barry Bonds</v>
      </c>
      <c r="BE69" s="7" t="n">
        <f aca="false">ROUND(10-MIN(AL69:BC69)/1.8,1)</f>
        <v>8.1</v>
      </c>
    </row>
    <row r="70" customFormat="false" ht="15" hidden="false" customHeight="false" outlineLevel="0" collapsed="false">
      <c r="A70" s="2" t="s">
        <v>137</v>
      </c>
      <c r="B70" s="2" t="s">
        <v>63</v>
      </c>
      <c r="C70" s="2" t="s">
        <v>136</v>
      </c>
      <c r="D70" s="2" t="s">
        <v>51</v>
      </c>
      <c r="E70" s="2" t="s">
        <v>50</v>
      </c>
      <c r="F70" s="2" t="s">
        <v>57</v>
      </c>
      <c r="G70" s="2" t="s">
        <v>57</v>
      </c>
      <c r="H70" s="3" t="n">
        <v>3</v>
      </c>
      <c r="I70" s="3" t="n">
        <v>7</v>
      </c>
      <c r="J70" s="3" t="n">
        <v>4</v>
      </c>
      <c r="K70" s="3" t="n">
        <v>6</v>
      </c>
      <c r="L70" s="4" t="n">
        <f aca="false">H70+I70+J70+K70</f>
        <v>20</v>
      </c>
      <c r="M70" s="4" t="n">
        <f aca="false">ROUND(0.75*I70+0.25*K70,2)</f>
        <v>6.75</v>
      </c>
      <c r="N70" s="4" t="n">
        <f aca="false">ROUND(0.7*J70+0.3*K70,2)</f>
        <v>4.6</v>
      </c>
      <c r="O70" s="4" t="n">
        <f aca="false">ROUND((H70+J70+K70)/3,2)</f>
        <v>4.33</v>
      </c>
      <c r="P70" s="4" t="n">
        <f aca="false">ROUND(0.85*H70+0.15*J70,2)</f>
        <v>3.15</v>
      </c>
      <c r="Q70" s="4" t="n">
        <f aca="false">ROUND(0.6*J70+0.3*I70+0.1*H70,2)</f>
        <v>4.8</v>
      </c>
      <c r="R70" s="4" t="n">
        <f aca="false">ROUND(0.7*I70+0.2*J70+0.1*K70,2)</f>
        <v>6.3</v>
      </c>
      <c r="S70" s="4" t="n">
        <f aca="false">ROUND(0.13*I70+0.35*J70+0.52*K70,2)</f>
        <v>5.43</v>
      </c>
      <c r="T70" s="4" t="n">
        <f aca="false">ROUND(0.4*I70+0.5*J70+0.1*K70,2)</f>
        <v>5.4</v>
      </c>
      <c r="U70" s="4" t="n">
        <f aca="false">ROUND(0.1*I70+0.55*J70+0.35*K70,2)</f>
        <v>5</v>
      </c>
      <c r="V70" s="4" t="n">
        <f aca="false">ROUND(0.6*I70+0.1*J70+0.3*K70,2)</f>
        <v>6.4</v>
      </c>
      <c r="W70" s="4" t="n">
        <f aca="false">ROUND(0.15*I70+0.3*J70+0.55*K70,2)</f>
        <v>5.55</v>
      </c>
      <c r="X70" s="4" t="n">
        <f aca="false">ROUND(0.46*I70+0.46*J70+0.08*K70,2)</f>
        <v>5.54</v>
      </c>
      <c r="Y70" s="4" t="str">
        <f aca="false">IF(H70=MAX(H70:K70),"Pitcher (arm-first)",IF(I70=MAX(H70:K70),"Bat-first (corner/1B/DH)",IF(J70=MAX(H70:K70),"Defense-first (up-the-middle)","Speed-first (CF/leadoff)")))</f>
        <v>Bat-first (corner/1B/DH)</v>
      </c>
      <c r="Z70" s="5" t="n">
        <f aca="false">P70</f>
        <v>3.15</v>
      </c>
      <c r="AA70" s="5" t="n">
        <f aca="false">IF(F70="Right",Q70,-1)</f>
        <v>-1</v>
      </c>
      <c r="AB70" s="5" t="n">
        <f aca="false">R70</f>
        <v>6.3</v>
      </c>
      <c r="AC70" s="5" t="n">
        <f aca="false">IF(F70="Right",S70,-1)</f>
        <v>-1</v>
      </c>
      <c r="AD70" s="5" t="n">
        <f aca="false">IF(F70="Right",T70,-1)</f>
        <v>-1</v>
      </c>
      <c r="AE70" s="5" t="n">
        <f aca="false">IF(F70="Right",U70,-1)</f>
        <v>-1</v>
      </c>
      <c r="AF70" s="5" t="n">
        <f aca="false">V70</f>
        <v>6.4</v>
      </c>
      <c r="AG70" s="5" t="n">
        <f aca="false">W70</f>
        <v>5.55</v>
      </c>
      <c r="AH70" s="5" t="n">
        <f aca="false">X70</f>
        <v>5.54</v>
      </c>
      <c r="AI70" s="4" t="str">
        <f aca="false">INDEX($Z$1:$AH$1,MATCH(MAX(Z70:AH70),Z70:AH70,0))</f>
        <v>LF</v>
      </c>
      <c r="AJ70" s="4" t="n">
        <f aca="false">MAX(Z70:AH70)</f>
        <v>6.4</v>
      </c>
      <c r="AK70" s="4" t="n">
        <f aca="false">SUMPRODUCT(($AI$2:$AI$73=AI70)*($AJ$2:$AJ$73&gt;AJ70))+SUMPRODUCT(($AI$2:$AI$73=AI70)*($AJ$2:$AJ$73=AJ70)*(ROW($AI$2:$AI$73)&lt;ROW(AI70)))+1</f>
        <v>4</v>
      </c>
      <c r="AL70" s="6" t="n">
        <f aca="false">SQRT((H70-'MLB Archetypes'!$C$2)^2+(I70-'MLB Archetypes'!$D$2)^2+(J70-'MLB Archetypes'!$E$2)^2+(K70-'MLB Archetypes'!$F$2)^2)</f>
        <v>9.16515138991168</v>
      </c>
      <c r="AM70" s="6" t="n">
        <f aca="false">SQRT((H70-'MLB Archetypes'!$C$3)^2+(I70-'MLB Archetypes'!$D$3)^2+(J70-'MLB Archetypes'!$E$3)^2+(K70-'MLB Archetypes'!$F$3)^2)</f>
        <v>8.06225774829855</v>
      </c>
      <c r="AN70" s="6" t="n">
        <f aca="false">SQRT((H70-'MLB Archetypes'!$C$4)^2+(I70-'MLB Archetypes'!$D$4)^2+(J70-'MLB Archetypes'!$E$4)^2+(K70-'MLB Archetypes'!$F$4)^2)</f>
        <v>5.91607978309962</v>
      </c>
      <c r="AO70" s="6" t="n">
        <f aca="false">SQRT((H70-'MLB Archetypes'!$C$5)^2+(I70-'MLB Archetypes'!$D$5)^2+(J70-'MLB Archetypes'!$E$5)^2+(K70-'MLB Archetypes'!$F$5)^2)</f>
        <v>4.69041575982343</v>
      </c>
      <c r="AP70" s="6" t="n">
        <f aca="false">SQRT((H70-'MLB Archetypes'!$C$6)^2+(I70-'MLB Archetypes'!$D$6)^2+(J70-'MLB Archetypes'!$E$6)^2+(K70-'MLB Archetypes'!$F$6)^2)</f>
        <v>4.24264068711929</v>
      </c>
      <c r="AQ70" s="6" t="n">
        <f aca="false">SQRT((H70-'MLB Archetypes'!$C$7)^2+(I70-'MLB Archetypes'!$D$7)^2+(J70-'MLB Archetypes'!$E$7)^2+(K70-'MLB Archetypes'!$F$7)^2)</f>
        <v>5.56776436283002</v>
      </c>
      <c r="AR70" s="6" t="n">
        <f aca="false">SQRT((H70-'MLB Archetypes'!$C$8)^2+(I70-'MLB Archetypes'!$D$8)^2+(J70-'MLB Archetypes'!$E$8)^2+(K70-'MLB Archetypes'!$F$8)^2)</f>
        <v>3.87298334620742</v>
      </c>
      <c r="AS70" s="6" t="n">
        <f aca="false">SQRT((H70-'MLB Archetypes'!$C$9)^2+(I70-'MLB Archetypes'!$D$9)^2+(J70-'MLB Archetypes'!$E$9)^2+(K70-'MLB Archetypes'!$F$9)^2)</f>
        <v>4.12310562561766</v>
      </c>
      <c r="AT70" s="6" t="n">
        <f aca="false">SQRT((H70-'MLB Archetypes'!$C$10)^2+(I70-'MLB Archetypes'!$D$10)^2+(J70-'MLB Archetypes'!$E$10)^2+(K70-'MLB Archetypes'!$F$10)^2)</f>
        <v>4.69041575982343</v>
      </c>
      <c r="AU70" s="6" t="n">
        <f aca="false">SQRT((H70-'MLB Archetypes'!$C$11)^2+(I70-'MLB Archetypes'!$D$11)^2+(J70-'MLB Archetypes'!$E$11)^2+(K70-'MLB Archetypes'!$F$11)^2)</f>
        <v>3.60555127546399</v>
      </c>
      <c r="AV70" s="6" t="n">
        <f aca="false">SQRT((H70-'MLB Archetypes'!$C$12)^2+(I70-'MLB Archetypes'!$D$12)^2+(J70-'MLB Archetypes'!$E$12)^2+(K70-'MLB Archetypes'!$F$12)^2)</f>
        <v>7.34846922834953</v>
      </c>
      <c r="AW70" s="6" t="n">
        <f aca="false">SQRT((H70-'MLB Archetypes'!$C$13)^2+(I70-'MLB Archetypes'!$D$13)^2+(J70-'MLB Archetypes'!$E$13)^2+(K70-'MLB Archetypes'!$F$13)^2)</f>
        <v>4.35889894354067</v>
      </c>
      <c r="AX70" s="6" t="n">
        <f aca="false">SQRT((H70-'MLB Archetypes'!$C$14)^2+(I70-'MLB Archetypes'!$D$14)^2+(J70-'MLB Archetypes'!$E$14)^2+(K70-'MLB Archetypes'!$F$14)^2)</f>
        <v>3.16227766016838</v>
      </c>
      <c r="AY70" s="6" t="n">
        <f aca="false">SQRT((H70-'MLB Archetypes'!$C$15)^2+(I70-'MLB Archetypes'!$D$15)^2+(J70-'MLB Archetypes'!$E$15)^2+(K70-'MLB Archetypes'!$F$15)^2)</f>
        <v>4.35889894354067</v>
      </c>
      <c r="AZ70" s="6" t="n">
        <f aca="false">SQRT((H70-'MLB Archetypes'!$C$16)^2+(I70-'MLB Archetypes'!$D$16)^2+(J70-'MLB Archetypes'!$E$16)^2+(K70-'MLB Archetypes'!$F$16)^2)</f>
        <v>5.56776436283002</v>
      </c>
      <c r="BA70" s="6" t="n">
        <f aca="false">SQRT((H70-'MLB Archetypes'!$C$17)^2+(I70-'MLB Archetypes'!$D$17)^2+(J70-'MLB Archetypes'!$E$17)^2+(K70-'MLB Archetypes'!$F$17)^2)</f>
        <v>4.35889894354067</v>
      </c>
      <c r="BB70" s="6" t="n">
        <f aca="false">SQRT((H70-'MLB Archetypes'!$C$18)^2+(I70-'MLB Archetypes'!$D$18)^2+(J70-'MLB Archetypes'!$E$18)^2+(K70-'MLB Archetypes'!$F$18)^2)</f>
        <v>3.16227766016838</v>
      </c>
      <c r="BC70" s="6" t="n">
        <f aca="false">SQRT((H70-'MLB Archetypes'!$C$19)^2+(I70-'MLB Archetypes'!$D$19)^2+(J70-'MLB Archetypes'!$E$19)^2+(K70-'MLB Archetypes'!$F$19)^2)</f>
        <v>4.12310562561766</v>
      </c>
      <c r="BD70" s="4" t="str">
        <f aca="false">INDEX('MLB Archetypes'!$B$2:$B$19,MATCH(MIN(AL70:BC70),AL70:BC70,0))</f>
        <v>Barry Bonds</v>
      </c>
      <c r="BE70" s="7" t="n">
        <f aca="false">ROUND(10-MIN(AL70:BC70)/1.8,1)</f>
        <v>8.2</v>
      </c>
    </row>
    <row r="71" customFormat="false" ht="15" hidden="false" customHeight="false" outlineLevel="0" collapsed="false">
      <c r="A71" s="2" t="s">
        <v>138</v>
      </c>
      <c r="B71" s="2" t="s">
        <v>63</v>
      </c>
      <c r="C71" s="2" t="s">
        <v>136</v>
      </c>
      <c r="D71" s="2" t="s">
        <v>51</v>
      </c>
      <c r="E71" s="2" t="s">
        <v>50</v>
      </c>
      <c r="F71" s="2" t="s">
        <v>57</v>
      </c>
      <c r="G71" s="2" t="s">
        <v>57</v>
      </c>
      <c r="H71" s="3" t="n">
        <v>5</v>
      </c>
      <c r="I71" s="3" t="n">
        <v>7</v>
      </c>
      <c r="J71" s="3" t="n">
        <v>4</v>
      </c>
      <c r="K71" s="3" t="n">
        <v>5</v>
      </c>
      <c r="L71" s="4" t="n">
        <f aca="false">H71+I71+J71+K71</f>
        <v>21</v>
      </c>
      <c r="M71" s="4" t="n">
        <f aca="false">ROUND(0.75*I71+0.25*K71,2)</f>
        <v>6.5</v>
      </c>
      <c r="N71" s="4" t="n">
        <f aca="false">ROUND(0.7*J71+0.3*K71,2)</f>
        <v>4.3</v>
      </c>
      <c r="O71" s="4" t="n">
        <f aca="false">ROUND((H71+J71+K71)/3,2)</f>
        <v>4.67</v>
      </c>
      <c r="P71" s="4" t="n">
        <f aca="false">ROUND(0.85*H71+0.15*J71,2)</f>
        <v>4.85</v>
      </c>
      <c r="Q71" s="4" t="n">
        <f aca="false">ROUND(0.6*J71+0.3*I71+0.1*H71,2)</f>
        <v>5</v>
      </c>
      <c r="R71" s="4" t="n">
        <f aca="false">ROUND(0.7*I71+0.2*J71+0.1*K71,2)</f>
        <v>6.2</v>
      </c>
      <c r="S71" s="4" t="n">
        <f aca="false">ROUND(0.13*I71+0.35*J71+0.52*K71,2)</f>
        <v>4.91</v>
      </c>
      <c r="T71" s="4" t="n">
        <f aca="false">ROUND(0.4*I71+0.5*J71+0.1*K71,2)</f>
        <v>5.3</v>
      </c>
      <c r="U71" s="4" t="n">
        <f aca="false">ROUND(0.1*I71+0.55*J71+0.35*K71,2)</f>
        <v>4.65</v>
      </c>
      <c r="V71" s="4" t="n">
        <f aca="false">ROUND(0.6*I71+0.1*J71+0.3*K71,2)</f>
        <v>6.1</v>
      </c>
      <c r="W71" s="4" t="n">
        <f aca="false">ROUND(0.15*I71+0.3*J71+0.55*K71,2)</f>
        <v>5</v>
      </c>
      <c r="X71" s="4" t="n">
        <f aca="false">ROUND(0.46*I71+0.46*J71+0.08*K71,2)</f>
        <v>5.46</v>
      </c>
      <c r="Y71" s="4" t="str">
        <f aca="false">IF(H71=MAX(H71:K71),"Pitcher (arm-first)",IF(I71=MAX(H71:K71),"Bat-first (corner/1B/DH)",IF(J71=MAX(H71:K71),"Defense-first (up-the-middle)","Speed-first (CF/leadoff)")))</f>
        <v>Bat-first (corner/1B/DH)</v>
      </c>
      <c r="Z71" s="5" t="n">
        <f aca="false">P71</f>
        <v>4.85</v>
      </c>
      <c r="AA71" s="5" t="n">
        <f aca="false">IF(F71="Right",Q71,-1)</f>
        <v>-1</v>
      </c>
      <c r="AB71" s="5" t="n">
        <f aca="false">R71</f>
        <v>6.2</v>
      </c>
      <c r="AC71" s="5" t="n">
        <f aca="false">IF(F71="Right",S71,-1)</f>
        <v>-1</v>
      </c>
      <c r="AD71" s="5" t="n">
        <f aca="false">IF(F71="Right",T71,-1)</f>
        <v>-1</v>
      </c>
      <c r="AE71" s="5" t="n">
        <f aca="false">IF(F71="Right",U71,-1)</f>
        <v>-1</v>
      </c>
      <c r="AF71" s="5" t="n">
        <f aca="false">V71</f>
        <v>6.1</v>
      </c>
      <c r="AG71" s="5" t="n">
        <f aca="false">W71</f>
        <v>5</v>
      </c>
      <c r="AH71" s="5" t="n">
        <f aca="false">X71</f>
        <v>5.46</v>
      </c>
      <c r="AI71" s="4" t="str">
        <f aca="false">INDEX($Z$1:$AH$1,MATCH(MAX(Z71:AH71),Z71:AH71,0))</f>
        <v>1B</v>
      </c>
      <c r="AJ71" s="4" t="n">
        <f aca="false">MAX(Z71:AH71)</f>
        <v>6.2</v>
      </c>
      <c r="AK71" s="4" t="n">
        <f aca="false">SUMPRODUCT(($AI$2:$AI$73=AI71)*($AJ$2:$AJ$73&gt;AJ71))+SUMPRODUCT(($AI$2:$AI$73=AI71)*($AJ$2:$AJ$73=AJ71)*(ROW($AI$2:$AI$73)&lt;ROW(AI71)))+1</f>
        <v>17</v>
      </c>
      <c r="AL71" s="6" t="n">
        <f aca="false">SQRT((H71-'MLB Archetypes'!$C$2)^2+(I71-'MLB Archetypes'!$D$2)^2+(J71-'MLB Archetypes'!$E$2)^2+(K71-'MLB Archetypes'!$F$2)^2)</f>
        <v>7.41619848709566</v>
      </c>
      <c r="AM71" s="6" t="n">
        <f aca="false">SQRT((H71-'MLB Archetypes'!$C$3)^2+(I71-'MLB Archetypes'!$D$3)^2+(J71-'MLB Archetypes'!$E$3)^2+(K71-'MLB Archetypes'!$F$3)^2)</f>
        <v>6.32455532033676</v>
      </c>
      <c r="AN71" s="6" t="n">
        <f aca="false">SQRT((H71-'MLB Archetypes'!$C$4)^2+(I71-'MLB Archetypes'!$D$4)^2+(J71-'MLB Archetypes'!$E$4)^2+(K71-'MLB Archetypes'!$F$4)^2)</f>
        <v>6.16441400296898</v>
      </c>
      <c r="AO71" s="6" t="n">
        <f aca="false">SQRT((H71-'MLB Archetypes'!$C$5)^2+(I71-'MLB Archetypes'!$D$5)^2+(J71-'MLB Archetypes'!$E$5)^2+(K71-'MLB Archetypes'!$F$5)^2)</f>
        <v>5.19615242270663</v>
      </c>
      <c r="AP71" s="6" t="n">
        <f aca="false">SQRT((H71-'MLB Archetypes'!$C$6)^2+(I71-'MLB Archetypes'!$D$6)^2+(J71-'MLB Archetypes'!$E$6)^2+(K71-'MLB Archetypes'!$F$6)^2)</f>
        <v>4.58257569495584</v>
      </c>
      <c r="AQ71" s="6" t="n">
        <f aca="false">SQRT((H71-'MLB Archetypes'!$C$7)^2+(I71-'MLB Archetypes'!$D$7)^2+(J71-'MLB Archetypes'!$E$7)^2+(K71-'MLB Archetypes'!$F$7)^2)</f>
        <v>6</v>
      </c>
      <c r="AR71" s="6" t="n">
        <f aca="false">SQRT((H71-'MLB Archetypes'!$C$8)^2+(I71-'MLB Archetypes'!$D$8)^2+(J71-'MLB Archetypes'!$E$8)^2+(K71-'MLB Archetypes'!$F$8)^2)</f>
        <v>5.29150262212918</v>
      </c>
      <c r="AS71" s="6" t="n">
        <f aca="false">SQRT((H71-'MLB Archetypes'!$C$9)^2+(I71-'MLB Archetypes'!$D$9)^2+(J71-'MLB Archetypes'!$E$9)^2+(K71-'MLB Archetypes'!$F$9)^2)</f>
        <v>5.09901951359278</v>
      </c>
      <c r="AT71" s="6" t="n">
        <f aca="false">SQRT((H71-'MLB Archetypes'!$C$10)^2+(I71-'MLB Archetypes'!$D$10)^2+(J71-'MLB Archetypes'!$E$10)^2+(K71-'MLB Archetypes'!$F$10)^2)</f>
        <v>5.19615242270663</v>
      </c>
      <c r="AU71" s="6" t="n">
        <f aca="false">SQRT((H71-'MLB Archetypes'!$C$11)^2+(I71-'MLB Archetypes'!$D$11)^2+(J71-'MLB Archetypes'!$E$11)^2+(K71-'MLB Archetypes'!$F$11)^2)</f>
        <v>4.24264068711929</v>
      </c>
      <c r="AV71" s="6" t="n">
        <f aca="false">SQRT((H71-'MLB Archetypes'!$C$12)^2+(I71-'MLB Archetypes'!$D$12)^2+(J71-'MLB Archetypes'!$E$12)^2+(K71-'MLB Archetypes'!$F$12)^2)</f>
        <v>8.06225774829855</v>
      </c>
      <c r="AW71" s="6" t="n">
        <f aca="false">SQRT((H71-'MLB Archetypes'!$C$13)^2+(I71-'MLB Archetypes'!$D$13)^2+(J71-'MLB Archetypes'!$E$13)^2+(K71-'MLB Archetypes'!$F$13)^2)</f>
        <v>4.69041575982343</v>
      </c>
      <c r="AX71" s="6" t="n">
        <f aca="false">SQRT((H71-'MLB Archetypes'!$C$14)^2+(I71-'MLB Archetypes'!$D$14)^2+(J71-'MLB Archetypes'!$E$14)^2+(K71-'MLB Archetypes'!$F$14)^2)</f>
        <v>4.12310562561766</v>
      </c>
      <c r="AY71" s="6" t="n">
        <f aca="false">SQRT((H71-'MLB Archetypes'!$C$15)^2+(I71-'MLB Archetypes'!$D$15)^2+(J71-'MLB Archetypes'!$E$15)^2+(K71-'MLB Archetypes'!$F$15)^2)</f>
        <v>6</v>
      </c>
      <c r="AZ71" s="6" t="n">
        <f aca="false">SQRT((H71-'MLB Archetypes'!$C$16)^2+(I71-'MLB Archetypes'!$D$16)^2+(J71-'MLB Archetypes'!$E$16)^2+(K71-'MLB Archetypes'!$F$16)^2)</f>
        <v>6.6332495807108</v>
      </c>
      <c r="BA71" s="6" t="n">
        <f aca="false">SQRT((H71-'MLB Archetypes'!$C$17)^2+(I71-'MLB Archetypes'!$D$17)^2+(J71-'MLB Archetypes'!$E$17)^2+(K71-'MLB Archetypes'!$F$17)^2)</f>
        <v>5.8309518948453</v>
      </c>
      <c r="BB71" s="6" t="n">
        <f aca="false">SQRT((H71-'MLB Archetypes'!$C$18)^2+(I71-'MLB Archetypes'!$D$18)^2+(J71-'MLB Archetypes'!$E$18)^2+(K71-'MLB Archetypes'!$F$18)^2)</f>
        <v>4.12310562561766</v>
      </c>
      <c r="BC71" s="6" t="n">
        <f aca="false">SQRT((H71-'MLB Archetypes'!$C$19)^2+(I71-'MLB Archetypes'!$D$19)^2+(J71-'MLB Archetypes'!$E$19)^2+(K71-'MLB Archetypes'!$F$19)^2)</f>
        <v>5.09901951359278</v>
      </c>
      <c r="BD71" s="4" t="str">
        <f aca="false">INDEX('MLB Archetypes'!$B$2:$B$19,MATCH(MIN(AL71:BC71),AL71:BC71,0))</f>
        <v>Barry Bonds</v>
      </c>
      <c r="BE71" s="7" t="n">
        <f aca="false">ROUND(10-MIN(AL71:BC71)/1.8,1)</f>
        <v>7.7</v>
      </c>
    </row>
    <row r="72" customFormat="false" ht="15" hidden="false" customHeight="false" outlineLevel="0" collapsed="false">
      <c r="A72" s="2" t="s">
        <v>139</v>
      </c>
      <c r="B72" s="2" t="s">
        <v>63</v>
      </c>
      <c r="C72" s="2" t="s">
        <v>136</v>
      </c>
      <c r="D72" s="2" t="s">
        <v>51</v>
      </c>
      <c r="E72" s="2" t="s">
        <v>50</v>
      </c>
      <c r="F72" s="2" t="s">
        <v>57</v>
      </c>
      <c r="G72" s="2" t="s">
        <v>57</v>
      </c>
      <c r="H72" s="3" t="n">
        <v>3</v>
      </c>
      <c r="I72" s="3" t="n">
        <v>7</v>
      </c>
      <c r="J72" s="3" t="n">
        <v>5</v>
      </c>
      <c r="K72" s="3" t="n">
        <v>5</v>
      </c>
      <c r="L72" s="4" t="n">
        <f aca="false">H72+I72+J72+K72</f>
        <v>20</v>
      </c>
      <c r="M72" s="4" t="n">
        <f aca="false">ROUND(0.75*I72+0.25*K72,2)</f>
        <v>6.5</v>
      </c>
      <c r="N72" s="4" t="n">
        <f aca="false">ROUND(0.7*J72+0.3*K72,2)</f>
        <v>5</v>
      </c>
      <c r="O72" s="4" t="n">
        <f aca="false">ROUND((H72+J72+K72)/3,2)</f>
        <v>4.33</v>
      </c>
      <c r="P72" s="4" t="n">
        <f aca="false">ROUND(0.85*H72+0.15*J72,2)</f>
        <v>3.3</v>
      </c>
      <c r="Q72" s="4" t="n">
        <f aca="false">ROUND(0.6*J72+0.3*I72+0.1*H72,2)</f>
        <v>5.4</v>
      </c>
      <c r="R72" s="4" t="n">
        <f aca="false">ROUND(0.7*I72+0.2*J72+0.1*K72,2)</f>
        <v>6.4</v>
      </c>
      <c r="S72" s="4" t="n">
        <f aca="false">ROUND(0.13*I72+0.35*J72+0.52*K72,2)</f>
        <v>5.26</v>
      </c>
      <c r="T72" s="4" t="n">
        <f aca="false">ROUND(0.4*I72+0.5*J72+0.1*K72,2)</f>
        <v>5.8</v>
      </c>
      <c r="U72" s="4" t="n">
        <f aca="false">ROUND(0.1*I72+0.55*J72+0.35*K72,2)</f>
        <v>5.2</v>
      </c>
      <c r="V72" s="4" t="n">
        <f aca="false">ROUND(0.6*I72+0.1*J72+0.3*K72,2)</f>
        <v>6.2</v>
      </c>
      <c r="W72" s="4" t="n">
        <f aca="false">ROUND(0.15*I72+0.3*J72+0.55*K72,2)</f>
        <v>5.3</v>
      </c>
      <c r="X72" s="4" t="n">
        <f aca="false">ROUND(0.46*I72+0.46*J72+0.08*K72,2)</f>
        <v>5.92</v>
      </c>
      <c r="Y72" s="4" t="str">
        <f aca="false">IF(H72=MAX(H72:K72),"Pitcher (arm-first)",IF(I72=MAX(H72:K72),"Bat-first (corner/1B/DH)",IF(J72=MAX(H72:K72),"Defense-first (up-the-middle)","Speed-first (CF/leadoff)")))</f>
        <v>Bat-first (corner/1B/DH)</v>
      </c>
      <c r="Z72" s="5" t="n">
        <f aca="false">P72</f>
        <v>3.3</v>
      </c>
      <c r="AA72" s="5" t="n">
        <f aca="false">IF(F72="Right",Q72,-1)</f>
        <v>-1</v>
      </c>
      <c r="AB72" s="5" t="n">
        <f aca="false">R72</f>
        <v>6.4</v>
      </c>
      <c r="AC72" s="5" t="n">
        <f aca="false">IF(F72="Right",S72,-1)</f>
        <v>-1</v>
      </c>
      <c r="AD72" s="5" t="n">
        <f aca="false">IF(F72="Right",T72,-1)</f>
        <v>-1</v>
      </c>
      <c r="AE72" s="5" t="n">
        <f aca="false">IF(F72="Right",U72,-1)</f>
        <v>-1</v>
      </c>
      <c r="AF72" s="5" t="n">
        <f aca="false">V72</f>
        <v>6.2</v>
      </c>
      <c r="AG72" s="5" t="n">
        <f aca="false">W72</f>
        <v>5.3</v>
      </c>
      <c r="AH72" s="5" t="n">
        <f aca="false">X72</f>
        <v>5.92</v>
      </c>
      <c r="AI72" s="4" t="str">
        <f aca="false">INDEX($Z$1:$AH$1,MATCH(MAX(Z72:AH72),Z72:AH72,0))</f>
        <v>1B</v>
      </c>
      <c r="AJ72" s="4" t="n">
        <f aca="false">MAX(Z72:AH72)</f>
        <v>6.4</v>
      </c>
      <c r="AK72" s="4" t="n">
        <f aca="false">SUMPRODUCT(($AI$2:$AI$73=AI72)*($AJ$2:$AJ$73&gt;AJ72))+SUMPRODUCT(($AI$2:$AI$73=AI72)*($AJ$2:$AJ$73=AJ72)*(ROW($AI$2:$AI$73)&lt;ROW(AI72)))+1</f>
        <v>14</v>
      </c>
      <c r="AL72" s="6" t="n">
        <f aca="false">SQRT((H72-'MLB Archetypes'!$C$2)^2+(I72-'MLB Archetypes'!$D$2)^2+(J72-'MLB Archetypes'!$E$2)^2+(K72-'MLB Archetypes'!$F$2)^2)</f>
        <v>8.83176086632785</v>
      </c>
      <c r="AM72" s="6" t="n">
        <f aca="false">SQRT((H72-'MLB Archetypes'!$C$3)^2+(I72-'MLB Archetypes'!$D$3)^2+(J72-'MLB Archetypes'!$E$3)^2+(K72-'MLB Archetypes'!$F$3)^2)</f>
        <v>7.54983443527075</v>
      </c>
      <c r="AN72" s="6" t="n">
        <f aca="false">SQRT((H72-'MLB Archetypes'!$C$4)^2+(I72-'MLB Archetypes'!$D$4)^2+(J72-'MLB Archetypes'!$E$4)^2+(K72-'MLB Archetypes'!$F$4)^2)</f>
        <v>4.58257569495584</v>
      </c>
      <c r="AO72" s="6" t="n">
        <f aca="false">SQRT((H72-'MLB Archetypes'!$C$5)^2+(I72-'MLB Archetypes'!$D$5)^2+(J72-'MLB Archetypes'!$E$5)^2+(K72-'MLB Archetypes'!$F$5)^2)</f>
        <v>3.46410161513775</v>
      </c>
      <c r="AP72" s="6" t="n">
        <f aca="false">SQRT((H72-'MLB Archetypes'!$C$6)^2+(I72-'MLB Archetypes'!$D$6)^2+(J72-'MLB Archetypes'!$E$6)^2+(K72-'MLB Archetypes'!$F$6)^2)</f>
        <v>3.16227766016838</v>
      </c>
      <c r="AQ72" s="6" t="n">
        <f aca="false">SQRT((H72-'MLB Archetypes'!$C$7)^2+(I72-'MLB Archetypes'!$D$7)^2+(J72-'MLB Archetypes'!$E$7)^2+(K72-'MLB Archetypes'!$F$7)^2)</f>
        <v>4.35889894354067</v>
      </c>
      <c r="AR72" s="6" t="n">
        <f aca="false">SQRT((H72-'MLB Archetypes'!$C$8)^2+(I72-'MLB Archetypes'!$D$8)^2+(J72-'MLB Archetypes'!$E$8)^2+(K72-'MLB Archetypes'!$F$8)^2)</f>
        <v>3.87298334620742</v>
      </c>
      <c r="AS72" s="6" t="n">
        <f aca="false">SQRT((H72-'MLB Archetypes'!$C$9)^2+(I72-'MLB Archetypes'!$D$9)^2+(J72-'MLB Archetypes'!$E$9)^2+(K72-'MLB Archetypes'!$F$9)^2)</f>
        <v>3.3166247903554</v>
      </c>
      <c r="AT72" s="6" t="n">
        <f aca="false">SQRT((H72-'MLB Archetypes'!$C$10)^2+(I72-'MLB Archetypes'!$D$10)^2+(J72-'MLB Archetypes'!$E$10)^2+(K72-'MLB Archetypes'!$F$10)^2)</f>
        <v>3.46410161513775</v>
      </c>
      <c r="AU72" s="6" t="n">
        <f aca="false">SQRT((H72-'MLB Archetypes'!$C$11)^2+(I72-'MLB Archetypes'!$D$11)^2+(J72-'MLB Archetypes'!$E$11)^2+(K72-'MLB Archetypes'!$F$11)^2)</f>
        <v>2.64575131106459</v>
      </c>
      <c r="AV72" s="6" t="n">
        <f aca="false">SQRT((H72-'MLB Archetypes'!$C$12)^2+(I72-'MLB Archetypes'!$D$12)^2+(J72-'MLB Archetypes'!$E$12)^2+(K72-'MLB Archetypes'!$F$12)^2)</f>
        <v>6.78232998312527</v>
      </c>
      <c r="AW72" s="6" t="n">
        <f aca="false">SQRT((H72-'MLB Archetypes'!$C$13)^2+(I72-'MLB Archetypes'!$D$13)^2+(J72-'MLB Archetypes'!$E$13)^2+(K72-'MLB Archetypes'!$F$13)^2)</f>
        <v>3</v>
      </c>
      <c r="AX72" s="6" t="n">
        <f aca="false">SQRT((H72-'MLB Archetypes'!$C$14)^2+(I72-'MLB Archetypes'!$D$14)^2+(J72-'MLB Archetypes'!$E$14)^2+(K72-'MLB Archetypes'!$F$14)^2)</f>
        <v>2.44948974278318</v>
      </c>
      <c r="AY72" s="6" t="n">
        <f aca="false">SQRT((H72-'MLB Archetypes'!$C$15)^2+(I72-'MLB Archetypes'!$D$15)^2+(J72-'MLB Archetypes'!$E$15)^2+(K72-'MLB Archetypes'!$F$15)^2)</f>
        <v>5.19615242270663</v>
      </c>
      <c r="AZ72" s="6" t="n">
        <f aca="false">SQRT((H72-'MLB Archetypes'!$C$16)^2+(I72-'MLB Archetypes'!$D$16)^2+(J72-'MLB Archetypes'!$E$16)^2+(K72-'MLB Archetypes'!$F$16)^2)</f>
        <v>5.19615242270663</v>
      </c>
      <c r="BA72" s="6" t="n">
        <f aca="false">SQRT((H72-'MLB Archetypes'!$C$17)^2+(I72-'MLB Archetypes'!$D$17)^2+(J72-'MLB Archetypes'!$E$17)^2+(K72-'MLB Archetypes'!$F$17)^2)</f>
        <v>4.58257569495584</v>
      </c>
      <c r="BB72" s="6" t="n">
        <f aca="false">SQRT((H72-'MLB Archetypes'!$C$18)^2+(I72-'MLB Archetypes'!$D$18)^2+(J72-'MLB Archetypes'!$E$18)^2+(K72-'MLB Archetypes'!$F$18)^2)</f>
        <v>2.44948974278318</v>
      </c>
      <c r="BC72" s="6" t="n">
        <f aca="false">SQRT((H72-'MLB Archetypes'!$C$19)^2+(I72-'MLB Archetypes'!$D$19)^2+(J72-'MLB Archetypes'!$E$19)^2+(K72-'MLB Archetypes'!$F$19)^2)</f>
        <v>3.3166247903554</v>
      </c>
      <c r="BD72" s="4" t="str">
        <f aca="false">INDEX('MLB Archetypes'!$B$2:$B$19,MATCH(MIN(AL72:BC72),AL72:BC72,0))</f>
        <v>Barry Bonds</v>
      </c>
      <c r="BE72" s="7" t="n">
        <f aca="false">ROUND(10-MIN(AL72:BC72)/1.8,1)</f>
        <v>8.6</v>
      </c>
    </row>
    <row r="73" customFormat="false" ht="15" hidden="false" customHeight="false" outlineLevel="0" collapsed="false">
      <c r="A73" s="2" t="s">
        <v>140</v>
      </c>
      <c r="B73" s="2" t="s">
        <v>141</v>
      </c>
      <c r="C73" s="2" t="s">
        <v>140</v>
      </c>
      <c r="D73" s="2" t="s">
        <v>50</v>
      </c>
      <c r="E73" s="2" t="s">
        <v>50</v>
      </c>
      <c r="F73" s="2" t="s">
        <v>52</v>
      </c>
      <c r="G73" s="2" t="s">
        <v>52</v>
      </c>
      <c r="H73" s="3" t="n">
        <v>6</v>
      </c>
      <c r="I73" s="3" t="n">
        <v>6</v>
      </c>
      <c r="J73" s="3" t="n">
        <v>6</v>
      </c>
      <c r="K73" s="3" t="n">
        <v>6</v>
      </c>
      <c r="L73" s="4" t="n">
        <f aca="false">H73+I73+J73+K73</f>
        <v>24</v>
      </c>
      <c r="M73" s="4" t="n">
        <f aca="false">ROUND(0.75*I73+0.25*K73,2)</f>
        <v>6</v>
      </c>
      <c r="N73" s="4" t="n">
        <f aca="false">ROUND(0.7*J73+0.3*K73,2)</f>
        <v>6</v>
      </c>
      <c r="O73" s="4" t="n">
        <f aca="false">ROUND((H73+J73+K73)/3,2)</f>
        <v>6</v>
      </c>
      <c r="P73" s="4" t="n">
        <f aca="false">ROUND(0.85*H73+0.15*J73,2)</f>
        <v>6</v>
      </c>
      <c r="Q73" s="4" t="n">
        <f aca="false">ROUND(0.6*J73+0.3*I73+0.1*H73,2)</f>
        <v>6</v>
      </c>
      <c r="R73" s="4" t="n">
        <f aca="false">ROUND(0.7*I73+0.2*J73+0.1*K73,2)</f>
        <v>6</v>
      </c>
      <c r="S73" s="4" t="n">
        <f aca="false">ROUND(0.13*I73+0.35*J73+0.52*K73,2)</f>
        <v>6</v>
      </c>
      <c r="T73" s="4" t="n">
        <f aca="false">ROUND(0.4*I73+0.5*J73+0.1*K73,2)</f>
        <v>6</v>
      </c>
      <c r="U73" s="4" t="n">
        <f aca="false">ROUND(0.1*I73+0.55*J73+0.35*K73,2)</f>
        <v>6</v>
      </c>
      <c r="V73" s="4" t="n">
        <f aca="false">ROUND(0.6*I73+0.1*J73+0.3*K73,2)</f>
        <v>6</v>
      </c>
      <c r="W73" s="4" t="n">
        <f aca="false">ROUND(0.15*I73+0.3*J73+0.55*K73,2)</f>
        <v>6</v>
      </c>
      <c r="X73" s="4" t="n">
        <f aca="false">ROUND(0.46*I73+0.46*J73+0.08*K73,2)</f>
        <v>6</v>
      </c>
      <c r="Y73" s="4" t="str">
        <f aca="false">IF(H73=MAX(H73:K73),"Pitcher (arm-first)",IF(I73=MAX(H73:K73),"Bat-first (corner/1B/DH)",IF(J73=MAX(H73:K73),"Defense-first (up-the-middle)","Speed-first (CF/leadoff)")))</f>
        <v>Pitcher (arm-first)</v>
      </c>
      <c r="Z73" s="5" t="n">
        <f aca="false">P73</f>
        <v>6</v>
      </c>
      <c r="AA73" s="5" t="n">
        <f aca="false">IF(F73="Right",Q73,-1)</f>
        <v>6</v>
      </c>
      <c r="AB73" s="5" t="n">
        <f aca="false">R73</f>
        <v>6</v>
      </c>
      <c r="AC73" s="5" t="n">
        <f aca="false">IF(F73="Right",S73,-1)</f>
        <v>6</v>
      </c>
      <c r="AD73" s="5" t="n">
        <f aca="false">IF(F73="Right",T73,-1)</f>
        <v>6</v>
      </c>
      <c r="AE73" s="5" t="n">
        <f aca="false">IF(F73="Right",U73,-1)</f>
        <v>6</v>
      </c>
      <c r="AF73" s="5" t="n">
        <f aca="false">V73</f>
        <v>6</v>
      </c>
      <c r="AG73" s="5" t="n">
        <f aca="false">W73</f>
        <v>6</v>
      </c>
      <c r="AH73" s="5" t="n">
        <f aca="false">X73</f>
        <v>6</v>
      </c>
      <c r="AI73" s="4" t="str">
        <f aca="false">INDEX($Z$1:$AH$1,MATCH(MAX(Z73:AH73),Z73:AH73,0))</f>
        <v>P</v>
      </c>
      <c r="AJ73" s="4" t="n">
        <f aca="false">MAX(Z73:AH73)</f>
        <v>6</v>
      </c>
      <c r="AK73" s="4" t="n">
        <f aca="false">SUMPRODUCT(($AI$2:$AI$73=AI73)*($AJ$2:$AJ$73&gt;AJ73))+SUMPRODUCT(($AI$2:$AI$73=AI73)*($AJ$2:$AJ$73=AJ73)*(ROW($AI$2:$AI$73)&lt;ROW(AI73)))+1</f>
        <v>13</v>
      </c>
      <c r="AL73" s="6" t="n">
        <f aca="false">SQRT((H73-'MLB Archetypes'!$C$2)^2+(I73-'MLB Archetypes'!$D$2)^2+(J73-'MLB Archetypes'!$E$2)^2+(K73-'MLB Archetypes'!$F$2)^2)</f>
        <v>6.48074069840786</v>
      </c>
      <c r="AM73" s="6" t="n">
        <f aca="false">SQRT((H73-'MLB Archetypes'!$C$3)^2+(I73-'MLB Archetypes'!$D$3)^2+(J73-'MLB Archetypes'!$E$3)^2+(K73-'MLB Archetypes'!$F$3)^2)</f>
        <v>5.19615242270663</v>
      </c>
      <c r="AN73" s="6" t="n">
        <f aca="false">SQRT((H73-'MLB Archetypes'!$C$4)^2+(I73-'MLB Archetypes'!$D$4)^2+(J73-'MLB Archetypes'!$E$4)^2+(K73-'MLB Archetypes'!$F$4)^2)</f>
        <v>5.91607978309962</v>
      </c>
      <c r="AO73" s="6" t="n">
        <f aca="false">SQRT((H73-'MLB Archetypes'!$C$5)^2+(I73-'MLB Archetypes'!$D$5)^2+(J73-'MLB Archetypes'!$E$5)^2+(K73-'MLB Archetypes'!$F$5)^2)</f>
        <v>4.89897948556636</v>
      </c>
      <c r="AP73" s="6" t="n">
        <f aca="false">SQRT((H73-'MLB Archetypes'!$C$6)^2+(I73-'MLB Archetypes'!$D$6)^2+(J73-'MLB Archetypes'!$E$6)^2+(K73-'MLB Archetypes'!$F$6)^2)</f>
        <v>5.8309518948453</v>
      </c>
      <c r="AQ73" s="6" t="n">
        <f aca="false">SQRT((H73-'MLB Archetypes'!$C$7)^2+(I73-'MLB Archetypes'!$D$7)^2+(J73-'MLB Archetypes'!$E$7)^2+(K73-'MLB Archetypes'!$F$7)^2)</f>
        <v>5.3851648071345</v>
      </c>
      <c r="AR73" s="6" t="n">
        <f aca="false">SQRT((H73-'MLB Archetypes'!$C$8)^2+(I73-'MLB Archetypes'!$D$8)^2+(J73-'MLB Archetypes'!$E$8)^2+(K73-'MLB Archetypes'!$F$8)^2)</f>
        <v>4.58257569495584</v>
      </c>
      <c r="AS73" s="6" t="n">
        <f aca="false">SQRT((H73-'MLB Archetypes'!$C$9)^2+(I73-'MLB Archetypes'!$D$9)^2+(J73-'MLB Archetypes'!$E$9)^2+(K73-'MLB Archetypes'!$F$9)^2)</f>
        <v>4.58257569495584</v>
      </c>
      <c r="AT73" s="6" t="n">
        <f aca="false">SQRT((H73-'MLB Archetypes'!$C$10)^2+(I73-'MLB Archetypes'!$D$10)^2+(J73-'MLB Archetypes'!$E$10)^2+(K73-'MLB Archetypes'!$F$10)^2)</f>
        <v>5.29150262212918</v>
      </c>
      <c r="AU73" s="6" t="n">
        <f aca="false">SQRT((H73-'MLB Archetypes'!$C$11)^2+(I73-'MLB Archetypes'!$D$11)^2+(J73-'MLB Archetypes'!$E$11)^2+(K73-'MLB Archetypes'!$F$11)^2)</f>
        <v>5.3851648071345</v>
      </c>
      <c r="AV73" s="6" t="n">
        <f aca="false">SQRT((H73-'MLB Archetypes'!$C$12)^2+(I73-'MLB Archetypes'!$D$12)^2+(J73-'MLB Archetypes'!$E$12)^2+(K73-'MLB Archetypes'!$F$12)^2)</f>
        <v>6.48074069840786</v>
      </c>
      <c r="AW73" s="6" t="n">
        <f aca="false">SQRT((H73-'MLB Archetypes'!$C$13)^2+(I73-'MLB Archetypes'!$D$13)^2+(J73-'MLB Archetypes'!$E$13)^2+(K73-'MLB Archetypes'!$F$13)^2)</f>
        <v>5.19615242270663</v>
      </c>
      <c r="AX73" s="6" t="n">
        <f aca="false">SQRT((H73-'MLB Archetypes'!$C$14)^2+(I73-'MLB Archetypes'!$D$14)^2+(J73-'MLB Archetypes'!$E$14)^2+(K73-'MLB Archetypes'!$F$14)^2)</f>
        <v>5.09901951359278</v>
      </c>
      <c r="AY73" s="6" t="n">
        <f aca="false">SQRT((H73-'MLB Archetypes'!$C$15)^2+(I73-'MLB Archetypes'!$D$15)^2+(J73-'MLB Archetypes'!$E$15)^2+(K73-'MLB Archetypes'!$F$15)^2)</f>
        <v>5.74456264653803</v>
      </c>
      <c r="AZ73" s="6" t="n">
        <f aca="false">SQRT((H73-'MLB Archetypes'!$C$16)^2+(I73-'MLB Archetypes'!$D$16)^2+(J73-'MLB Archetypes'!$E$16)^2+(K73-'MLB Archetypes'!$F$16)^2)</f>
        <v>5.74456264653803</v>
      </c>
      <c r="BA73" s="6" t="n">
        <f aca="false">SQRT((H73-'MLB Archetypes'!$C$17)^2+(I73-'MLB Archetypes'!$D$17)^2+(J73-'MLB Archetypes'!$E$17)^2+(K73-'MLB Archetypes'!$F$17)^2)</f>
        <v>5.19615242270663</v>
      </c>
      <c r="BB73" s="6" t="n">
        <f aca="false">SQRT((H73-'MLB Archetypes'!$C$18)^2+(I73-'MLB Archetypes'!$D$18)^2+(J73-'MLB Archetypes'!$E$18)^2+(K73-'MLB Archetypes'!$F$18)^2)</f>
        <v>5.09901951359278</v>
      </c>
      <c r="BC73" s="6" t="n">
        <f aca="false">SQRT((H73-'MLB Archetypes'!$C$19)^2+(I73-'MLB Archetypes'!$D$19)^2+(J73-'MLB Archetypes'!$E$19)^2+(K73-'MLB Archetypes'!$F$19)^2)</f>
        <v>4.58257569495584</v>
      </c>
      <c r="BD73" s="4" t="str">
        <f aca="false">INDEX('MLB Archetypes'!$B$2:$B$19,MATCH(MIN(AL73:BC73),AL73:BC73,0))</f>
        <v>Jackie Robinson</v>
      </c>
      <c r="BE73" s="7" t="n">
        <f aca="false">ROUND(10-MIN(AL73:BC73)/1.8,1)</f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6" min="3" style="0" width="12"/>
    <col collapsed="false" customWidth="true" hidden="false" outlineLevel="0" max="7" min="7" style="0" width="55"/>
  </cols>
  <sheetData>
    <row r="1" customFormat="false" ht="30" hidden="false" customHeight="true" outlineLevel="0" collapsed="false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</row>
    <row r="2" customFormat="false" ht="15" hidden="false" customHeight="false" outlineLevel="0" collapsed="false">
      <c r="A2" s="8" t="s">
        <v>15</v>
      </c>
      <c r="B2" s="8" t="s">
        <v>149</v>
      </c>
      <c r="C2" s="9" t="n">
        <v>10</v>
      </c>
      <c r="D2" s="9" t="n">
        <v>2</v>
      </c>
      <c r="E2" s="9" t="n">
        <v>5</v>
      </c>
      <c r="F2" s="9" t="n">
        <v>3</v>
      </c>
      <c r="G2" s="10" t="s">
        <v>150</v>
      </c>
    </row>
    <row r="3" customFormat="false" ht="23.85" hidden="false" customHeight="false" outlineLevel="0" collapsed="false">
      <c r="A3" s="8" t="s">
        <v>15</v>
      </c>
      <c r="B3" s="8" t="s">
        <v>151</v>
      </c>
      <c r="C3" s="9" t="n">
        <v>9</v>
      </c>
      <c r="D3" s="9" t="n">
        <v>3</v>
      </c>
      <c r="E3" s="9" t="n">
        <v>6</v>
      </c>
      <c r="F3" s="9" t="n">
        <v>3</v>
      </c>
      <c r="G3" s="10" t="s">
        <v>152</v>
      </c>
    </row>
    <row r="4" customFormat="false" ht="23.85" hidden="false" customHeight="false" outlineLevel="0" collapsed="false">
      <c r="A4" s="8" t="s">
        <v>16</v>
      </c>
      <c r="B4" s="8" t="s">
        <v>153</v>
      </c>
      <c r="C4" s="9" t="n">
        <v>2</v>
      </c>
      <c r="D4" s="9" t="n">
        <v>7</v>
      </c>
      <c r="E4" s="9" t="n">
        <v>9</v>
      </c>
      <c r="F4" s="9" t="n">
        <v>3</v>
      </c>
      <c r="G4" s="10" t="s">
        <v>154</v>
      </c>
    </row>
    <row r="5" customFormat="false" ht="23.85" hidden="false" customHeight="false" outlineLevel="0" collapsed="false">
      <c r="A5" s="8" t="s">
        <v>16</v>
      </c>
      <c r="B5" s="8" t="s">
        <v>155</v>
      </c>
      <c r="C5" s="9" t="n">
        <v>2</v>
      </c>
      <c r="D5" s="9" t="n">
        <v>6</v>
      </c>
      <c r="E5" s="9" t="n">
        <v>8</v>
      </c>
      <c r="F5" s="9" t="n">
        <v>4</v>
      </c>
      <c r="G5" s="10" t="s">
        <v>156</v>
      </c>
    </row>
    <row r="6" customFormat="false" ht="15" hidden="false" customHeight="false" outlineLevel="0" collapsed="false">
      <c r="A6" s="8" t="s">
        <v>17</v>
      </c>
      <c r="B6" s="8" t="s">
        <v>157</v>
      </c>
      <c r="C6" s="9" t="n">
        <v>2</v>
      </c>
      <c r="D6" s="9" t="n">
        <v>9</v>
      </c>
      <c r="E6" s="9" t="n">
        <v>6</v>
      </c>
      <c r="F6" s="9" t="n">
        <v>3</v>
      </c>
      <c r="G6" s="10" t="s">
        <v>158</v>
      </c>
    </row>
    <row r="7" customFormat="false" ht="15" hidden="false" customHeight="false" outlineLevel="0" collapsed="false">
      <c r="A7" s="8" t="s">
        <v>17</v>
      </c>
      <c r="B7" s="8" t="s">
        <v>159</v>
      </c>
      <c r="C7" s="9" t="n">
        <v>2</v>
      </c>
      <c r="D7" s="9" t="n">
        <v>6</v>
      </c>
      <c r="E7" s="9" t="n">
        <v>9</v>
      </c>
      <c r="F7" s="9" t="n">
        <v>4</v>
      </c>
      <c r="G7" s="10" t="s">
        <v>160</v>
      </c>
    </row>
    <row r="8" customFormat="false" ht="15" hidden="false" customHeight="false" outlineLevel="0" collapsed="false">
      <c r="A8" s="8" t="s">
        <v>18</v>
      </c>
      <c r="B8" s="8" t="s">
        <v>161</v>
      </c>
      <c r="C8" s="9" t="n">
        <v>2</v>
      </c>
      <c r="D8" s="9" t="n">
        <v>6</v>
      </c>
      <c r="E8" s="9" t="n">
        <v>7</v>
      </c>
      <c r="F8" s="9" t="n">
        <v>8</v>
      </c>
      <c r="G8" s="10" t="s">
        <v>162</v>
      </c>
    </row>
    <row r="9" customFormat="false" ht="23.85" hidden="false" customHeight="false" outlineLevel="0" collapsed="false">
      <c r="A9" s="8" t="s">
        <v>18</v>
      </c>
      <c r="B9" s="8" t="s">
        <v>163</v>
      </c>
      <c r="C9" s="9" t="n">
        <v>2</v>
      </c>
      <c r="D9" s="9" t="n">
        <v>7</v>
      </c>
      <c r="E9" s="9" t="n">
        <v>8</v>
      </c>
      <c r="F9" s="9" t="n">
        <v>6</v>
      </c>
      <c r="G9" s="10" t="s">
        <v>164</v>
      </c>
    </row>
    <row r="10" customFormat="false" ht="15" hidden="false" customHeight="false" outlineLevel="0" collapsed="false">
      <c r="A10" s="8" t="s">
        <v>19</v>
      </c>
      <c r="B10" s="8" t="s">
        <v>165</v>
      </c>
      <c r="C10" s="9" t="n">
        <v>2</v>
      </c>
      <c r="D10" s="9" t="n">
        <v>8</v>
      </c>
      <c r="E10" s="9" t="n">
        <v>8</v>
      </c>
      <c r="F10" s="9" t="n">
        <v>4</v>
      </c>
      <c r="G10" s="10" t="s">
        <v>166</v>
      </c>
    </row>
    <row r="11" customFormat="false" ht="15" hidden="false" customHeight="false" outlineLevel="0" collapsed="false">
      <c r="A11" s="8" t="s">
        <v>19</v>
      </c>
      <c r="B11" s="8" t="s">
        <v>167</v>
      </c>
      <c r="C11" s="9" t="n">
        <v>2</v>
      </c>
      <c r="D11" s="9" t="n">
        <v>9</v>
      </c>
      <c r="E11" s="9" t="n">
        <v>6</v>
      </c>
      <c r="F11" s="9" t="n">
        <v>4</v>
      </c>
      <c r="G11" s="10" t="s">
        <v>168</v>
      </c>
    </row>
    <row r="12" customFormat="false" ht="15" hidden="false" customHeight="false" outlineLevel="0" collapsed="false">
      <c r="A12" s="8" t="s">
        <v>20</v>
      </c>
      <c r="B12" s="8" t="s">
        <v>169</v>
      </c>
      <c r="C12" s="9" t="n">
        <v>2</v>
      </c>
      <c r="D12" s="9" t="n">
        <v>3</v>
      </c>
      <c r="E12" s="9" t="n">
        <v>10</v>
      </c>
      <c r="F12" s="9" t="n">
        <v>7</v>
      </c>
      <c r="G12" s="10" t="s">
        <v>170</v>
      </c>
    </row>
    <row r="13" customFormat="false" ht="23.85" hidden="false" customHeight="false" outlineLevel="0" collapsed="false">
      <c r="A13" s="8" t="s">
        <v>20</v>
      </c>
      <c r="B13" s="8" t="s">
        <v>171</v>
      </c>
      <c r="C13" s="9" t="n">
        <v>2</v>
      </c>
      <c r="D13" s="9" t="n">
        <v>7</v>
      </c>
      <c r="E13" s="9" t="n">
        <v>7</v>
      </c>
      <c r="F13" s="9" t="n">
        <v>3</v>
      </c>
      <c r="G13" s="10" t="s">
        <v>172</v>
      </c>
    </row>
    <row r="14" customFormat="false" ht="23.85" hidden="false" customHeight="false" outlineLevel="0" collapsed="false">
      <c r="A14" s="8" t="s">
        <v>21</v>
      </c>
      <c r="B14" s="8" t="s">
        <v>173</v>
      </c>
      <c r="C14" s="9" t="n">
        <v>2</v>
      </c>
      <c r="D14" s="9" t="n">
        <v>9</v>
      </c>
      <c r="E14" s="9" t="n">
        <v>6</v>
      </c>
      <c r="F14" s="9" t="n">
        <v>5</v>
      </c>
      <c r="G14" s="10" t="s">
        <v>174</v>
      </c>
    </row>
    <row r="15" customFormat="false" ht="15" hidden="false" customHeight="false" outlineLevel="0" collapsed="false">
      <c r="A15" s="8" t="s">
        <v>21</v>
      </c>
      <c r="B15" s="8" t="s">
        <v>175</v>
      </c>
      <c r="C15" s="9" t="n">
        <v>2</v>
      </c>
      <c r="D15" s="9" t="n">
        <v>6</v>
      </c>
      <c r="E15" s="9" t="n">
        <v>5</v>
      </c>
      <c r="F15" s="9" t="n">
        <v>10</v>
      </c>
      <c r="G15" s="10" t="s">
        <v>176</v>
      </c>
    </row>
    <row r="16" customFormat="false" ht="23.85" hidden="false" customHeight="false" outlineLevel="0" collapsed="false">
      <c r="A16" s="8" t="s">
        <v>22</v>
      </c>
      <c r="B16" s="8" t="s">
        <v>177</v>
      </c>
      <c r="C16" s="9" t="n">
        <v>2</v>
      </c>
      <c r="D16" s="9" t="n">
        <v>8</v>
      </c>
      <c r="E16" s="9" t="n">
        <v>9</v>
      </c>
      <c r="F16" s="9" t="n">
        <v>8</v>
      </c>
      <c r="G16" s="10" t="s">
        <v>178</v>
      </c>
    </row>
    <row r="17" customFormat="false" ht="15" hidden="false" customHeight="false" outlineLevel="0" collapsed="false">
      <c r="A17" s="8" t="s">
        <v>22</v>
      </c>
      <c r="B17" s="8" t="s">
        <v>179</v>
      </c>
      <c r="C17" s="9" t="n">
        <v>2</v>
      </c>
      <c r="D17" s="9" t="n">
        <v>7</v>
      </c>
      <c r="E17" s="9" t="n">
        <v>7</v>
      </c>
      <c r="F17" s="9" t="n">
        <v>9</v>
      </c>
      <c r="G17" s="10" t="s">
        <v>180</v>
      </c>
    </row>
    <row r="18" customFormat="false" ht="15" hidden="false" customHeight="false" outlineLevel="0" collapsed="false">
      <c r="A18" s="8" t="s">
        <v>23</v>
      </c>
      <c r="B18" s="8" t="s">
        <v>181</v>
      </c>
      <c r="C18" s="9" t="n">
        <v>2</v>
      </c>
      <c r="D18" s="9" t="n">
        <v>9</v>
      </c>
      <c r="E18" s="9" t="n">
        <v>6</v>
      </c>
      <c r="F18" s="9" t="n">
        <v>5</v>
      </c>
      <c r="G18" s="10" t="s">
        <v>182</v>
      </c>
    </row>
    <row r="19" customFormat="false" ht="23.85" hidden="false" customHeight="false" outlineLevel="0" collapsed="false">
      <c r="A19" s="8" t="s">
        <v>23</v>
      </c>
      <c r="B19" s="8" t="s">
        <v>183</v>
      </c>
      <c r="C19" s="9" t="n">
        <v>2</v>
      </c>
      <c r="D19" s="9" t="n">
        <v>7</v>
      </c>
      <c r="E19" s="9" t="n">
        <v>8</v>
      </c>
      <c r="F19" s="9" t="n">
        <v>6</v>
      </c>
      <c r="G19" s="1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8"/>
  </cols>
  <sheetData>
    <row r="1" customFormat="false" ht="16.15" hidden="false" customHeight="false" outlineLevel="0" collapsed="false">
      <c r="A1" s="11" t="s">
        <v>185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customFormat="false" ht="15" hidden="false" customHeight="false" outlineLevel="0" collapsed="false">
      <c r="A3" s="12" t="s">
        <v>142</v>
      </c>
      <c r="B3" s="12" t="s">
        <v>186</v>
      </c>
      <c r="C3" s="12" t="s">
        <v>187</v>
      </c>
      <c r="D3" s="12" t="s">
        <v>188</v>
      </c>
      <c r="E3" s="12" t="s">
        <v>187</v>
      </c>
      <c r="F3" s="12" t="s">
        <v>189</v>
      </c>
      <c r="G3" s="12" t="s">
        <v>187</v>
      </c>
      <c r="H3" s="12" t="s">
        <v>190</v>
      </c>
      <c r="I3" s="12" t="s">
        <v>187</v>
      </c>
      <c r="J3" s="12" t="s">
        <v>191</v>
      </c>
      <c r="K3" s="12" t="s">
        <v>187</v>
      </c>
    </row>
    <row r="4" customFormat="false" ht="15" hidden="false" customHeight="false" outlineLevel="0" collapsed="false">
      <c r="A4" s="13" t="s">
        <v>15</v>
      </c>
      <c r="B4" s="2" t="str">
        <f aca="false">IFERROR(INDEX('Roster Data'!$A$2:$A$73,SUMPRODUCT(('Roster Data'!$AI$2:$AI$73=$A4)*('Roster Data'!$AK$2:$AK$73=1)*ROW('Roster Data'!$AI$2:$AI$73))-2+1),"—")</f>
        <v>Peach</v>
      </c>
      <c r="C4" s="14" t="n">
        <f aca="false">IFERROR(INDEX('Roster Data'!$AJ$2:$AJ$73,SUMPRODUCT(('Roster Data'!$AI$2:$AI$73=$A4)*('Roster Data'!$AK$2:$AK$73=1)*ROW('Roster Data'!$AI$2:$AI$73))-2+1),"")</f>
        <v>8.85</v>
      </c>
      <c r="D4" s="2" t="str">
        <f aca="false">IFERROR(INDEX('Roster Data'!$A$2:$A$73,SUMPRODUCT(('Roster Data'!$AI$2:$AI$73=$A4)*('Roster Data'!$AK$2:$AK$73=2)*ROW('Roster Data'!$AI$2:$AI$73))-2+1),"—")</f>
        <v>Boo</v>
      </c>
      <c r="E4" s="14" t="n">
        <f aca="false">IFERROR(INDEX('Roster Data'!$AJ$2:$AJ$73,SUMPRODUCT(('Roster Data'!$AI$2:$AI$73=$A4)*('Roster Data'!$AK$2:$AK$73=2)*ROW('Roster Data'!$AI$2:$AI$73))-2+1),"")</f>
        <v>8.1</v>
      </c>
      <c r="F4" s="2" t="str">
        <f aca="false">IFERROR(INDEX('Roster Data'!$A$2:$A$73,SUMPRODUCT(('Roster Data'!$AI$2:$AI$73=$A4)*('Roster Data'!$AK$2:$AK$73=3)*ROW('Roster Data'!$AI$2:$AI$73))-2+1),"—")</f>
        <v>Waluigi</v>
      </c>
      <c r="G4" s="14" t="n">
        <f aca="false">IFERROR(INDEX('Roster Data'!$AJ$2:$AJ$73,SUMPRODUCT(('Roster Data'!$AI$2:$AI$73=$A4)*('Roster Data'!$AK$2:$AK$73=3)*ROW('Roster Data'!$AI$2:$AI$73))-2+1),"")</f>
        <v>8</v>
      </c>
      <c r="H4" s="2" t="str">
        <f aca="false">IFERROR(INDEX('Roster Data'!$A$2:$A$73,SUMPRODUCT(('Roster Data'!$AI$2:$AI$73=$A4)*('Roster Data'!$AK$2:$AK$73=4)*ROW('Roster Data'!$AI$2:$AI$73))-2+1),"—")</f>
        <v>Magikoopa</v>
      </c>
      <c r="I4" s="14" t="n">
        <f aca="false">IFERROR(INDEX('Roster Data'!$AJ$2:$AJ$73,SUMPRODUCT(('Roster Data'!$AI$2:$AI$73=$A4)*('Roster Data'!$AK$2:$AK$73=4)*ROW('Roster Data'!$AI$2:$AI$73))-2+1),"")</f>
        <v>8</v>
      </c>
      <c r="J4" s="2" t="str">
        <f aca="false">IFERROR(INDEX('Roster Data'!$A$2:$A$73,SUMPRODUCT(('Roster Data'!$AI$2:$AI$73=$A4)*('Roster Data'!$AK$2:$AK$73=5)*ROW('Roster Data'!$AI$2:$AI$73))-2+1),"—")</f>
        <v>Red Magikoopa</v>
      </c>
      <c r="K4" s="14" t="n">
        <f aca="false">IFERROR(INDEX('Roster Data'!$AJ$2:$AJ$73,SUMPRODUCT(('Roster Data'!$AI$2:$AI$73=$A4)*('Roster Data'!$AK$2:$AK$73=5)*ROW('Roster Data'!$AI$2:$AI$73))-2+1),"")</f>
        <v>8</v>
      </c>
    </row>
    <row r="5" customFormat="false" ht="15" hidden="false" customHeight="false" outlineLevel="0" collapsed="false">
      <c r="A5" s="13" t="s">
        <v>16</v>
      </c>
      <c r="B5" s="2" t="str">
        <f aca="false">IFERROR(INDEX('Roster Data'!$A$2:$A$73,SUMPRODUCT(('Roster Data'!$AI$2:$AI$73=$A5)*('Roster Data'!$AK$2:$AK$73=1)*ROW('Roster Data'!$AI$2:$AI$73))-2+1),"—")</f>
        <v>Daisy</v>
      </c>
      <c r="C5" s="14" t="n">
        <f aca="false">IFERROR(INDEX('Roster Data'!$AJ$2:$AJ$73,SUMPRODUCT(('Roster Data'!$AI$2:$AI$73=$A5)*('Roster Data'!$AK$2:$AK$73=1)*ROW('Roster Data'!$AI$2:$AI$73))-2+1),"")</f>
        <v>7.3</v>
      </c>
      <c r="D5" s="2" t="str">
        <f aca="false">IFERROR(INDEX('Roster Data'!$A$2:$A$73,SUMPRODUCT(('Roster Data'!$AI$2:$AI$73=$A5)*('Roster Data'!$AK$2:$AK$73=2)*ROW('Roster Data'!$AI$2:$AI$73))-2+1),"—")</f>
        <v>Baby DK</v>
      </c>
      <c r="E5" s="14" t="n">
        <f aca="false">IFERROR(INDEX('Roster Data'!$AJ$2:$AJ$73,SUMPRODUCT(('Roster Data'!$AI$2:$AI$73=$A5)*('Roster Data'!$AK$2:$AK$73=2)*ROW('Roster Data'!$AI$2:$AI$73))-2+1),"")</f>
        <v>6.9</v>
      </c>
      <c r="F5" s="2" t="str">
        <f aca="false">IFERROR(INDEX('Roster Data'!$A$2:$A$73,SUMPRODUCT(('Roster Data'!$AI$2:$AI$73=$A5)*('Roster Data'!$AK$2:$AK$73=3)*ROW('Roster Data'!$AI$2:$AI$73))-2+1),"—")</f>
        <v>Kritter</v>
      </c>
      <c r="G5" s="14" t="n">
        <f aca="false">IFERROR(INDEX('Roster Data'!$AJ$2:$AJ$73,SUMPRODUCT(('Roster Data'!$AI$2:$AI$73=$A5)*('Roster Data'!$AK$2:$AK$73=3)*ROW('Roster Data'!$AI$2:$AI$73))-2+1),"")</f>
        <v>6.7</v>
      </c>
      <c r="H5" s="2" t="str">
        <f aca="false">IFERROR(INDEX('Roster Data'!$A$2:$A$73,SUMPRODUCT(('Roster Data'!$AI$2:$AI$73=$A5)*('Roster Data'!$AK$2:$AK$73=4)*ROW('Roster Data'!$AI$2:$AI$73))-2+1),"—")</f>
        <v>Blue Kritter</v>
      </c>
      <c r="I5" s="14" t="n">
        <f aca="false">IFERROR(INDEX('Roster Data'!$AJ$2:$AJ$73,SUMPRODUCT(('Roster Data'!$AI$2:$AI$73=$A5)*('Roster Data'!$AK$2:$AK$73=4)*ROW('Roster Data'!$AI$2:$AI$73))-2+1),"")</f>
        <v>6.5</v>
      </c>
      <c r="J5" s="2" t="str">
        <f aca="false">IFERROR(INDEX('Roster Data'!$A$2:$A$73,SUMPRODUCT(('Roster Data'!$AI$2:$AI$73=$A5)*('Roster Data'!$AK$2:$AK$73=5)*ROW('Roster Data'!$AI$2:$AI$73))-2+1),"—")</f>
        <v>Gray Shy Guy</v>
      </c>
      <c r="K5" s="14" t="n">
        <f aca="false">IFERROR(INDEX('Roster Data'!$AJ$2:$AJ$73,SUMPRODUCT(('Roster Data'!$AI$2:$AI$73=$A5)*('Roster Data'!$AK$2:$AK$73=5)*ROW('Roster Data'!$AI$2:$AI$73))-2+1),"")</f>
        <v>6.4</v>
      </c>
    </row>
    <row r="6" customFormat="false" ht="15" hidden="false" customHeight="false" outlineLevel="0" collapsed="false">
      <c r="A6" s="13" t="s">
        <v>17</v>
      </c>
      <c r="B6" s="2" t="str">
        <f aca="false">IFERROR(INDEX('Roster Data'!$A$2:$A$73,SUMPRODUCT(('Roster Data'!$AI$2:$AI$73=$A6)*('Roster Data'!$AK$2:$AK$73=1)*ROW('Roster Data'!$AI$2:$AI$73))-2+1),"—")</f>
        <v>Petey Piranha</v>
      </c>
      <c r="C6" s="14" t="n">
        <f aca="false">IFERROR(INDEX('Roster Data'!$AJ$2:$AJ$73,SUMPRODUCT(('Roster Data'!$AI$2:$AI$73=$A6)*('Roster Data'!$AK$2:$AK$73=1)*ROW('Roster Data'!$AI$2:$AI$73))-2+1),"")</f>
        <v>8.2</v>
      </c>
      <c r="D6" s="2" t="str">
        <f aca="false">IFERROR(INDEX('Roster Data'!$A$2:$A$73,SUMPRODUCT(('Roster Data'!$AI$2:$AI$73=$A6)*('Roster Data'!$AK$2:$AK$73=2)*ROW('Roster Data'!$AI$2:$AI$73))-2+1),"—")</f>
        <v>Bowser</v>
      </c>
      <c r="E6" s="14" t="n">
        <f aca="false">IFERROR(INDEX('Roster Data'!$AJ$2:$AJ$73,SUMPRODUCT(('Roster Data'!$AI$2:$AI$73=$A6)*('Roster Data'!$AK$2:$AK$73=2)*ROW('Roster Data'!$AI$2:$AI$73))-2+1),"")</f>
        <v>7.9</v>
      </c>
      <c r="F6" s="2" t="str">
        <f aca="false">IFERROR(INDEX('Roster Data'!$A$2:$A$73,SUMPRODUCT(('Roster Data'!$AI$2:$AI$73=$A6)*('Roster Data'!$AK$2:$AK$73=3)*ROW('Roster Data'!$AI$2:$AI$73))-2+1),"—")</f>
        <v>Birdo</v>
      </c>
      <c r="G6" s="14" t="n">
        <f aca="false">IFERROR(INDEX('Roster Data'!$AJ$2:$AJ$73,SUMPRODUCT(('Roster Data'!$AI$2:$AI$73=$A6)*('Roster Data'!$AK$2:$AK$73=3)*ROW('Roster Data'!$AI$2:$AI$73))-2+1),"")</f>
        <v>7.5</v>
      </c>
      <c r="H6" s="2" t="str">
        <f aca="false">IFERROR(INDEX('Roster Data'!$A$2:$A$73,SUMPRODUCT(('Roster Data'!$AI$2:$AI$73=$A6)*('Roster Data'!$AK$2:$AK$73=4)*ROW('Roster Data'!$AI$2:$AI$73))-2+1),"—")</f>
        <v>King K. Rool</v>
      </c>
      <c r="I6" s="14" t="n">
        <f aca="false">IFERROR(INDEX('Roster Data'!$AJ$2:$AJ$73,SUMPRODUCT(('Roster Data'!$AI$2:$AI$73=$A6)*('Roster Data'!$AK$2:$AK$73=4)*ROW('Roster Data'!$AI$2:$AI$73))-2+1),"")</f>
        <v>7.5</v>
      </c>
      <c r="J6" s="2" t="str">
        <f aca="false">IFERROR(INDEX('Roster Data'!$A$2:$A$73,SUMPRODUCT(('Roster Data'!$AI$2:$AI$73=$A6)*('Roster Data'!$AK$2:$AK$73=5)*ROW('Roster Data'!$AI$2:$AI$73))-2+1),"—")</f>
        <v>Red Kritter</v>
      </c>
      <c r="K6" s="14" t="n">
        <f aca="false">IFERROR(INDEX('Roster Data'!$AJ$2:$AJ$73,SUMPRODUCT(('Roster Data'!$AI$2:$AI$73=$A6)*('Roster Data'!$AK$2:$AK$73=5)*ROW('Roster Data'!$AI$2:$AI$73))-2+1),"")</f>
        <v>7.3</v>
      </c>
    </row>
    <row r="7" customFormat="false" ht="15" hidden="false" customHeight="false" outlineLevel="0" collapsed="false">
      <c r="A7" s="13" t="s">
        <v>18</v>
      </c>
      <c r="B7" s="2" t="str">
        <f aca="false">IFERROR(INDEX('Roster Data'!$A$2:$A$73,SUMPRODUCT(('Roster Data'!$AI$2:$AI$73=$A7)*('Roster Data'!$AK$2:$AK$73=1)*ROW('Roster Data'!$AI$2:$AI$73))-2+1),"—")</f>
        <v>Light-Blue Yoshi</v>
      </c>
      <c r="C7" s="14" t="n">
        <f aca="false">IFERROR(INDEX('Roster Data'!$AJ$2:$AJ$73,SUMPRODUCT(('Roster Data'!$AI$2:$AI$73=$A7)*('Roster Data'!$AK$2:$AK$73=1)*ROW('Roster Data'!$AI$2:$AI$73))-2+1),"")</f>
        <v>6.65</v>
      </c>
      <c r="D7" s="2" t="str">
        <f aca="false">IFERROR(INDEX('Roster Data'!$A$2:$A$73,SUMPRODUCT(('Roster Data'!$AI$2:$AI$73=$A7)*('Roster Data'!$AK$2:$AK$73=2)*ROW('Roster Data'!$AI$2:$AI$73))-2+1),"—")</f>
        <v>Blue Yoshi</v>
      </c>
      <c r="E7" s="14" t="n">
        <f aca="false">IFERROR(INDEX('Roster Data'!$AJ$2:$AJ$73,SUMPRODUCT(('Roster Data'!$AI$2:$AI$73=$A7)*('Roster Data'!$AK$2:$AK$73=2)*ROW('Roster Data'!$AI$2:$AI$73))-2+1),"")</f>
        <v>6.52</v>
      </c>
      <c r="F7" s="2" t="str">
        <f aca="false">IFERROR(INDEX('Roster Data'!$A$2:$A$73,SUMPRODUCT(('Roster Data'!$AI$2:$AI$73=$A7)*('Roster Data'!$AK$2:$AK$73=3)*ROW('Roster Data'!$AI$2:$AI$73))-2+1),"—")</f>
        <v>Yellow Yoshi</v>
      </c>
      <c r="G7" s="14" t="n">
        <f aca="false">IFERROR(INDEX('Roster Data'!$AJ$2:$AJ$73,SUMPRODUCT(('Roster Data'!$AI$2:$AI$73=$A7)*('Roster Data'!$AK$2:$AK$73=3)*ROW('Roster Data'!$AI$2:$AI$73))-2+1),"")</f>
        <v>6.26</v>
      </c>
      <c r="H7" s="2" t="str">
        <f aca="false">IFERROR(INDEX('Roster Data'!$A$2:$A$73,SUMPRODUCT(('Roster Data'!$AI$2:$AI$73=$A7)*('Roster Data'!$AK$2:$AK$73=4)*ROW('Roster Data'!$AI$2:$AI$73))-2+1),"—")</f>
        <v>—</v>
      </c>
      <c r="I7" s="14" t="str">
        <f aca="false">IFERROR(INDEX('Roster Data'!$AJ$2:$AJ$73,SUMPRODUCT(('Roster Data'!$AI$2:$AI$73=$A7)*('Roster Data'!$AK$2:$AK$73=4)*ROW('Roster Data'!$AI$2:$AI$73))-2+1),"")</f>
        <v/>
      </c>
      <c r="J7" s="2" t="str">
        <f aca="false">IFERROR(INDEX('Roster Data'!$A$2:$A$73,SUMPRODUCT(('Roster Data'!$AI$2:$AI$73=$A7)*('Roster Data'!$AK$2:$AK$73=5)*ROW('Roster Data'!$AI$2:$AI$73))-2+1),"—")</f>
        <v>—</v>
      </c>
      <c r="K7" s="14" t="str">
        <f aca="false">IFERROR(INDEX('Roster Data'!$AJ$2:$AJ$73,SUMPRODUCT(('Roster Data'!$AI$2:$AI$73=$A7)*('Roster Data'!$AK$2:$AK$73=5)*ROW('Roster Data'!$AI$2:$AI$73))-2+1),"")</f>
        <v/>
      </c>
    </row>
    <row r="8" customFormat="false" ht="15" hidden="false" customHeight="false" outlineLevel="0" collapsed="false">
      <c r="A8" s="13" t="s">
        <v>19</v>
      </c>
      <c r="B8" s="2" t="str">
        <f aca="false">IFERROR(INDEX('Roster Data'!$A$2:$A$73,SUMPRODUCT(('Roster Data'!$AI$2:$AI$73=$A8)*('Roster Data'!$AK$2:$AK$73=1)*ROW('Roster Data'!$AI$2:$AI$73))-2+1),"—")</f>
        <v>—</v>
      </c>
      <c r="C8" s="14" t="str">
        <f aca="false">IFERROR(INDEX('Roster Data'!$AJ$2:$AJ$73,SUMPRODUCT(('Roster Data'!$AI$2:$AI$73=$A8)*('Roster Data'!$AK$2:$AK$73=1)*ROW('Roster Data'!$AI$2:$AI$73))-2+1),"")</f>
        <v/>
      </c>
      <c r="D8" s="2" t="str">
        <f aca="false">IFERROR(INDEX('Roster Data'!$A$2:$A$73,SUMPRODUCT(('Roster Data'!$AI$2:$AI$73=$A8)*('Roster Data'!$AK$2:$AK$73=2)*ROW('Roster Data'!$AI$2:$AI$73))-2+1),"—")</f>
        <v>—</v>
      </c>
      <c r="E8" s="14" t="str">
        <f aca="false">IFERROR(INDEX('Roster Data'!$AJ$2:$AJ$73,SUMPRODUCT(('Roster Data'!$AI$2:$AI$73=$A8)*('Roster Data'!$AK$2:$AK$73=2)*ROW('Roster Data'!$AI$2:$AI$73))-2+1),"")</f>
        <v/>
      </c>
      <c r="F8" s="2" t="str">
        <f aca="false">IFERROR(INDEX('Roster Data'!$A$2:$A$73,SUMPRODUCT(('Roster Data'!$AI$2:$AI$73=$A8)*('Roster Data'!$AK$2:$AK$73=3)*ROW('Roster Data'!$AI$2:$AI$73))-2+1),"—")</f>
        <v>—</v>
      </c>
      <c r="G8" s="14" t="str">
        <f aca="false">IFERROR(INDEX('Roster Data'!$AJ$2:$AJ$73,SUMPRODUCT(('Roster Data'!$AI$2:$AI$73=$A8)*('Roster Data'!$AK$2:$AK$73=3)*ROW('Roster Data'!$AI$2:$AI$73))-2+1),"")</f>
        <v/>
      </c>
      <c r="H8" s="2" t="str">
        <f aca="false">IFERROR(INDEX('Roster Data'!$A$2:$A$73,SUMPRODUCT(('Roster Data'!$AI$2:$AI$73=$A8)*('Roster Data'!$AK$2:$AK$73=4)*ROW('Roster Data'!$AI$2:$AI$73))-2+1),"—")</f>
        <v>—</v>
      </c>
      <c r="I8" s="14" t="str">
        <f aca="false">IFERROR(INDEX('Roster Data'!$AJ$2:$AJ$73,SUMPRODUCT(('Roster Data'!$AI$2:$AI$73=$A8)*('Roster Data'!$AK$2:$AK$73=4)*ROW('Roster Data'!$AI$2:$AI$73))-2+1),"")</f>
        <v/>
      </c>
      <c r="J8" s="2" t="str">
        <f aca="false">IFERROR(INDEX('Roster Data'!$A$2:$A$73,SUMPRODUCT(('Roster Data'!$AI$2:$AI$73=$A8)*('Roster Data'!$AK$2:$AK$73=5)*ROW('Roster Data'!$AI$2:$AI$73))-2+1),"—")</f>
        <v>—</v>
      </c>
      <c r="K8" s="14" t="str">
        <f aca="false">IFERROR(INDEX('Roster Data'!$AJ$2:$AJ$73,SUMPRODUCT(('Roster Data'!$AI$2:$AI$73=$A8)*('Roster Data'!$AK$2:$AK$73=5)*ROW('Roster Data'!$AI$2:$AI$73))-2+1),"")</f>
        <v/>
      </c>
    </row>
    <row r="9" customFormat="false" ht="15" hidden="false" customHeight="false" outlineLevel="0" collapsed="false">
      <c r="A9" s="13" t="s">
        <v>20</v>
      </c>
      <c r="B9" s="2" t="str">
        <f aca="false">IFERROR(INDEX('Roster Data'!$A$2:$A$73,SUMPRODUCT(('Roster Data'!$AI$2:$AI$73=$A9)*('Roster Data'!$AK$2:$AK$73=1)*ROW('Roster Data'!$AI$2:$AI$73))-2+1),"—")</f>
        <v>Dixie Kong</v>
      </c>
      <c r="C9" s="14" t="n">
        <f aca="false">IFERROR(INDEX('Roster Data'!$AJ$2:$AJ$73,SUMPRODUCT(('Roster Data'!$AI$2:$AI$73=$A9)*('Roster Data'!$AK$2:$AK$73=1)*ROW('Roster Data'!$AI$2:$AI$73))-2+1),"")</f>
        <v>7.15</v>
      </c>
      <c r="D9" s="2" t="str">
        <f aca="false">IFERROR(INDEX('Roster Data'!$A$2:$A$73,SUMPRODUCT(('Roster Data'!$AI$2:$AI$73=$A9)*('Roster Data'!$AK$2:$AK$73=2)*ROW('Roster Data'!$AI$2:$AI$73))-2+1),"—")</f>
        <v>Luigi</v>
      </c>
      <c r="E9" s="14" t="n">
        <f aca="false">IFERROR(INDEX('Roster Data'!$AJ$2:$AJ$73,SUMPRODUCT(('Roster Data'!$AI$2:$AI$73=$A9)*('Roster Data'!$AK$2:$AK$73=2)*ROW('Roster Data'!$AI$2:$AI$73))-2+1),"")</f>
        <v>6.9</v>
      </c>
      <c r="F9" s="2" t="str">
        <f aca="false">IFERROR(INDEX('Roster Data'!$A$2:$A$73,SUMPRODUCT(('Roster Data'!$AI$2:$AI$73=$A9)*('Roster Data'!$AK$2:$AK$73=3)*ROW('Roster Data'!$AI$2:$AI$73))-2+1),"—")</f>
        <v>Diddy Kong</v>
      </c>
      <c r="G9" s="14" t="n">
        <f aca="false">IFERROR(INDEX('Roster Data'!$AJ$2:$AJ$73,SUMPRODUCT(('Roster Data'!$AI$2:$AI$73=$A9)*('Roster Data'!$AK$2:$AK$73=3)*ROW('Roster Data'!$AI$2:$AI$73))-2+1),"")</f>
        <v>6.9</v>
      </c>
      <c r="H9" s="2" t="str">
        <f aca="false">IFERROR(INDEX('Roster Data'!$A$2:$A$73,SUMPRODUCT(('Roster Data'!$AI$2:$AI$73=$A9)*('Roster Data'!$AK$2:$AK$73=4)*ROW('Roster Data'!$AI$2:$AI$73))-2+1),"—")</f>
        <v>Green Shy Guy</v>
      </c>
      <c r="I9" s="14" t="n">
        <f aca="false">IFERROR(INDEX('Roster Data'!$AJ$2:$AJ$73,SUMPRODUCT(('Roster Data'!$AI$2:$AI$73=$A9)*('Roster Data'!$AK$2:$AK$73=4)*ROW('Roster Data'!$AI$2:$AI$73))-2+1),"")</f>
        <v>6.1</v>
      </c>
      <c r="J9" s="2" t="str">
        <f aca="false">IFERROR(INDEX('Roster Data'!$A$2:$A$73,SUMPRODUCT(('Roster Data'!$AI$2:$AI$73=$A9)*('Roster Data'!$AK$2:$AK$73=5)*ROW('Roster Data'!$AI$2:$AI$73))-2+1),"—")</f>
        <v>Green Paratroopa</v>
      </c>
      <c r="K9" s="14" t="n">
        <f aca="false">IFERROR(INDEX('Roster Data'!$AJ$2:$AJ$73,SUMPRODUCT(('Roster Data'!$AI$2:$AI$73=$A9)*('Roster Data'!$AK$2:$AK$73=5)*ROW('Roster Data'!$AI$2:$AI$73))-2+1),"")</f>
        <v>6.1</v>
      </c>
    </row>
    <row r="10" customFormat="false" ht="15" hidden="false" customHeight="false" outlineLevel="0" collapsed="false">
      <c r="A10" s="13" t="s">
        <v>21</v>
      </c>
      <c r="B10" s="2" t="str">
        <f aca="false">IFERROR(INDEX('Roster Data'!$A$2:$A$73,SUMPRODUCT(('Roster Data'!$AI$2:$AI$73=$A10)*('Roster Data'!$AK$2:$AK$73=1)*ROW('Roster Data'!$AI$2:$AI$73))-2+1),"—")</f>
        <v>Mario</v>
      </c>
      <c r="C10" s="14" t="n">
        <f aca="false">IFERROR(INDEX('Roster Data'!$AJ$2:$AJ$73,SUMPRODUCT(('Roster Data'!$AI$2:$AI$73=$A10)*('Roster Data'!$AK$2:$AK$73=1)*ROW('Roster Data'!$AI$2:$AI$73))-2+1),"")</f>
        <v>6.9</v>
      </c>
      <c r="D10" s="2" t="str">
        <f aca="false">IFERROR(INDEX('Roster Data'!$A$2:$A$73,SUMPRODUCT(('Roster Data'!$AI$2:$AI$73=$A10)*('Roster Data'!$AK$2:$AK$73=2)*ROW('Roster Data'!$AI$2:$AI$73))-2+1),"—")</f>
        <v>Bowser Jr.</v>
      </c>
      <c r="E10" s="14" t="n">
        <f aca="false">IFERROR(INDEX('Roster Data'!$AJ$2:$AJ$73,SUMPRODUCT(('Roster Data'!$AI$2:$AI$73=$A10)*('Roster Data'!$AK$2:$AK$73=2)*ROW('Roster Data'!$AI$2:$AI$73))-2+1),"")</f>
        <v>6.7</v>
      </c>
      <c r="F10" s="2" t="str">
        <f aca="false">IFERROR(INDEX('Roster Data'!$A$2:$A$73,SUMPRODUCT(('Roster Data'!$AI$2:$AI$73=$A10)*('Roster Data'!$AK$2:$AK$73=3)*ROW('Roster Data'!$AI$2:$AI$73))-2+1),"—")</f>
        <v>Wiggler</v>
      </c>
      <c r="G10" s="14" t="n">
        <f aca="false">IFERROR(INDEX('Roster Data'!$AJ$2:$AJ$73,SUMPRODUCT(('Roster Data'!$AI$2:$AI$73=$A10)*('Roster Data'!$AK$2:$AK$73=3)*ROW('Roster Data'!$AI$2:$AI$73))-2+1),"")</f>
        <v>6.7</v>
      </c>
      <c r="H10" s="2" t="str">
        <f aca="false">IFERROR(INDEX('Roster Data'!$A$2:$A$73,SUMPRODUCT(('Roster Data'!$AI$2:$AI$73=$A10)*('Roster Data'!$AK$2:$AK$73=4)*ROW('Roster Data'!$AI$2:$AI$73))-2+1),"—")</f>
        <v>Green Dry Bones</v>
      </c>
      <c r="I10" s="14" t="n">
        <f aca="false">IFERROR(INDEX('Roster Data'!$AJ$2:$AJ$73,SUMPRODUCT(('Roster Data'!$AI$2:$AI$73=$A10)*('Roster Data'!$AK$2:$AK$73=4)*ROW('Roster Data'!$AI$2:$AI$73))-2+1),"")</f>
        <v>6.4</v>
      </c>
      <c r="J10" s="2" t="str">
        <f aca="false">IFERROR(INDEX('Roster Data'!$A$2:$A$73,SUMPRODUCT(('Roster Data'!$AI$2:$AI$73=$A10)*('Roster Data'!$AK$2:$AK$73=5)*ROW('Roster Data'!$AI$2:$AI$73))-2+1),"—")</f>
        <v>Yellow Toad</v>
      </c>
      <c r="K10" s="14" t="n">
        <f aca="false">IFERROR(INDEX('Roster Data'!$AJ$2:$AJ$73,SUMPRODUCT(('Roster Data'!$AI$2:$AI$73=$A10)*('Roster Data'!$AK$2:$AK$73=5)*ROW('Roster Data'!$AI$2:$AI$73))-2+1),"")</f>
        <v>6.1</v>
      </c>
    </row>
    <row r="11" customFormat="false" ht="45" hidden="false" customHeight="true" outlineLevel="0" collapsed="false">
      <c r="A11" s="15" t="s">
        <v>192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13" t="s">
        <v>23</v>
      </c>
      <c r="B12" s="2" t="str">
        <f aca="false">IFERROR(INDEX('Roster Data'!$A$2:$A$73,SUMPRODUCT(('Roster Data'!$AI$2:$AI$73=$A12)*('Roster Data'!$AK$2:$AK$73=1)*ROW('Roster Data'!$AI$2:$AI$73))-2+1),"—")</f>
        <v>Brown Kritter</v>
      </c>
      <c r="C12" s="14" t="n">
        <f aca="false">IFERROR(INDEX('Roster Data'!$AJ$2:$AJ$73,SUMPRODUCT(('Roster Data'!$AI$2:$AI$73=$A12)*('Roster Data'!$AK$2:$AK$73=1)*ROW('Roster Data'!$AI$2:$AI$73))-2+1),"")</f>
        <v>6.76</v>
      </c>
      <c r="D12" s="2" t="str">
        <f aca="false">IFERROR(INDEX('Roster Data'!$A$2:$A$73,SUMPRODUCT(('Roster Data'!$AI$2:$AI$73=$A12)*('Roster Data'!$AK$2:$AK$73=2)*ROW('Roster Data'!$AI$2:$AI$73))-2+1),"—")</f>
        <v>—</v>
      </c>
      <c r="E12" s="14" t="str">
        <f aca="false">IFERROR(INDEX('Roster Data'!$AJ$2:$AJ$73,SUMPRODUCT(('Roster Data'!$AI$2:$AI$73=$A12)*('Roster Data'!$AK$2:$AK$73=2)*ROW('Roster Data'!$AI$2:$AI$73))-2+1),"")</f>
        <v/>
      </c>
      <c r="F12" s="2" t="str">
        <f aca="false">IFERROR(INDEX('Roster Data'!$A$2:$A$73,SUMPRODUCT(('Roster Data'!$AI$2:$AI$73=$A12)*('Roster Data'!$AK$2:$AK$73=3)*ROW('Roster Data'!$AI$2:$AI$73))-2+1),"—")</f>
        <v>—</v>
      </c>
      <c r="G12" s="14" t="str">
        <f aca="false">IFERROR(INDEX('Roster Data'!$AJ$2:$AJ$73,SUMPRODUCT(('Roster Data'!$AI$2:$AI$73=$A12)*('Roster Data'!$AK$2:$AK$73=3)*ROW('Roster Data'!$AI$2:$AI$73))-2+1),"")</f>
        <v/>
      </c>
      <c r="H12" s="2" t="str">
        <f aca="false">IFERROR(INDEX('Roster Data'!$A$2:$A$73,SUMPRODUCT(('Roster Data'!$AI$2:$AI$73=$A12)*('Roster Data'!$AK$2:$AK$73=4)*ROW('Roster Data'!$AI$2:$AI$73))-2+1),"—")</f>
        <v>—</v>
      </c>
      <c r="I12" s="14" t="str">
        <f aca="false">IFERROR(INDEX('Roster Data'!$AJ$2:$AJ$73,SUMPRODUCT(('Roster Data'!$AI$2:$AI$73=$A12)*('Roster Data'!$AK$2:$AK$73=4)*ROW('Roster Data'!$AI$2:$AI$73))-2+1),"")</f>
        <v/>
      </c>
      <c r="J12" s="2" t="str">
        <f aca="false">IFERROR(INDEX('Roster Data'!$A$2:$A$73,SUMPRODUCT(('Roster Data'!$AI$2:$AI$73=$A12)*('Roster Data'!$AK$2:$AK$73=5)*ROW('Roster Data'!$AI$2:$AI$73))-2+1),"—")</f>
        <v>—</v>
      </c>
      <c r="K12" s="14" t="str">
        <f aca="false">IFERROR(INDEX('Roster Data'!$AJ$2:$AJ$73,SUMPRODUCT(('Roster Data'!$AI$2:$AI$73=$A12)*('Roster Data'!$AK$2:$AK$73=5)*ROW('Roster Data'!$AI$2:$AI$73))-2+1),"")</f>
        <v/>
      </c>
    </row>
  </sheetData>
  <mergeCells count="2">
    <mergeCell ref="A1:K1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2026-09-14T00:06:25Z</dcterms:created>
  <dc:creator>openpyxl</dc:creator>
  <dc:description/>
  <dc:language>en-US</dc:language>
  <cp:lastModifiedBy/>
  <dcterms:modified xsi:type="dcterms:W3CDTF">2026-09-14T00:06:30Z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